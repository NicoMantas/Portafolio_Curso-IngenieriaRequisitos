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Instrucciones" sheetId="1" state="visible" r:id="rId3"/>
    <sheet name="📋 Matriz principal" sheetId="2" state="visible" r:id="rId4"/>
    <sheet name="🔗 Trazabilidad visual" sheetId="3" state="visible" r:id="rId5"/>
    <sheet name="📊 Resumen y métricas" sheetId="4" state="visible" r:id="rId6"/>
    <sheet name="📝 Registro de RFCs" sheetId="5" state="visible" r:id="rId7"/>
    <sheet name="🗂️ Catálogo de artefact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<sst xmlns="http://schemas.openxmlformats.org/spreadsheetml/2006/main" count="454" uniqueCount="267">
  <si>
    <t xml:space="preserve">MATRIZ DE TRAZABILIDAD DE REQUISITOS</t>
  </si>
  <si>
    <t xml:space="preserve">Plantilla estándar para proyectos de desarrollo de software · Versión 1.0</t>
  </si>
  <si>
    <t xml:space="preserve">¿QUÉ ES ESTA PLANTILLA?</t>
  </si>
  <si>
    <t xml:space="preserve"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</si>
  <si>
    <t xml:space="preserve">ESTRUCTURA DE LA PLANTILLA</t>
  </si>
  <si>
    <t xml:space="preserve">📋 Matriz principal</t>
  </si>
  <si>
    <t xml:space="preserve">Hoja central. Cada fila es un requisito. Registra origen, especificación, pruebas, estado y RFC asociada.</t>
  </si>
  <si>
    <t xml:space="preserve">🔗 Trazabilidad visual</t>
  </si>
  <si>
    <t xml:space="preserve">Vista cruzada (requisitos × artefactos). Un ✓ en cada celda indica que el artefacto cubre ese requisito.</t>
  </si>
  <si>
    <t xml:space="preserve">📊 Resumen y métricas</t>
  </si>
  <si>
    <t xml:space="preserve">Dashboard automático: % de cobertura, requisitos sin prueba, cambios pendientes y semáforo de salud.</t>
  </si>
  <si>
    <t xml:space="preserve">📝 Registro de RFCs</t>
  </si>
  <si>
    <t xml:space="preserve">Historial de todas las Solicitudes de Cambio procesadas, con estado y artefactos impactados.</t>
  </si>
  <si>
    <t xml:space="preserve">🗂️ Catálogo de artefactos</t>
  </si>
  <si>
    <t xml:space="preserve">Inventario de todos los documentos, módulos de código y casos de prueba referenciados en la matriz.</t>
  </si>
  <si>
    <t xml:space="preserve">GUÍA DE COLORES Y ESTADOS</t>
  </si>
  <si>
    <t xml:space="preserve">Activo / Aprobado / Completado</t>
  </si>
  <si>
    <t xml:space="preserve">El requisito o artefacto está en uso y verificado.</t>
  </si>
  <si>
    <t xml:space="preserve">En desarrollo / Pendiente de revisión</t>
  </si>
  <si>
    <t xml:space="preserve">Trabajo en curso. Requiere seguimiento.</t>
  </si>
  <si>
    <t xml:space="preserve">Rechazado / Bloqueado / Sin cobertura</t>
  </si>
  <si>
    <t xml:space="preserve">Requiere acción inmediata. No puede cerrarse el ciclo.</t>
  </si>
  <si>
    <t xml:space="preserve">Propuesto / En análisis</t>
  </si>
  <si>
    <t xml:space="preserve">RFC o requisito recién ingresado, aún no evaluado.</t>
  </si>
  <si>
    <t xml:space="preserve">Aplazado / En espera de decisión</t>
  </si>
  <si>
    <t xml:space="preserve">El CCB ha pospuesto la decisión a una iteración futura.</t>
  </si>
  <si>
    <t xml:space="preserve">Archivado / Fuera de alcance</t>
  </si>
  <si>
    <t xml:space="preserve">No aplica al sprint actual. Conservado por trazabilidad histórica.</t>
  </si>
  <si>
    <t xml:space="preserve">FLUJO DE TRABAJO RECOMENDADO</t>
  </si>
  <si>
    <t xml:space="preserve">1. Al iniciar el proyecto, registra todas las necesidades de negocio en la columna 'ID Necesidad' de la Matriz principal.</t>
  </si>
  <si>
    <t xml:space="preserve">2. Para cada necesidad, crea al menos un requisito en la hoja Matriz principal. Completa todas las columnas.</t>
  </si>
  <si>
    <t xml:space="preserve">3. A medida que avanza el desarrollo, actualiza 'ID Código', 'ID Caso de prueba' y 'Resultado prueba'.</t>
  </si>
  <si>
    <t xml:space="preserve">4. Cuando llegue una RFC, regístrala en la hoja 'Registro de RFCs' y actualiza las filas afectadas en la Matriz principal.</t>
  </si>
  <si>
    <t xml:space="preserve">5. Usa la hoja 'Trazabilidad visual' para detectar requisitos sin cobertura (celdas vacías en columnas de artefactos).</t>
  </si>
  <si>
    <t xml:space="preserve">6. Revisa el 'Resumen y métricas' antes de cada reunión del CCB o revisión de sprint.</t>
  </si>
  <si>
    <t xml:space="preserve">7. Al cerrar el proyecto, archiva la matriz completa junto con el SRS y el informe de lecciones aprendidas.</t>
  </si>
  <si>
    <t xml:space="preserve">MATRIZ DE TRAZABILIDAD DE REQUISITOS — Hoja principal</t>
  </si>
  <si>
    <t xml:space="preserve">IDENTIFICACIÓN</t>
  </si>
  <si>
    <t xml:space="preserve">ORIGEN</t>
  </si>
  <si>
    <t xml:space="preserve">ESPECIFICACIÓN</t>
  </si>
  <si>
    <t xml:space="preserve">IMPLEMENTACIÓN</t>
  </si>
  <si>
    <t xml:space="preserve">VERIFICACIÓN</t>
  </si>
  <si>
    <t xml:space="preserve">ESTADO Y CAMBIOS</t>
  </si>
  <si>
    <t xml:space="preserve">ID Requisito</t>
  </si>
  <si>
    <t xml:space="preserve">Título del requisito</t>
  </si>
  <si>
    <t xml:space="preserve">Tipo</t>
  </si>
  <si>
    <t xml:space="preserve">ID Necesidad
de negocio</t>
  </si>
  <si>
    <t xml:space="preserve">Stakeholder
solicitante</t>
  </si>
  <si>
    <t xml:space="preserve">Prioridad
(MoSCoW)</t>
  </si>
  <si>
    <t xml:space="preserve">Versión
SRS</t>
  </si>
  <si>
    <t xml:space="preserve">Criterios de
aceptación (resumen)</t>
  </si>
  <si>
    <t xml:space="preserve">ID Módulo /
Código</t>
  </si>
  <si>
    <t xml:space="preserve">Sprint
implementación</t>
  </si>
  <si>
    <t xml:space="preserve">Responsable
desarrollo</t>
  </si>
  <si>
    <t xml:space="preserve">ID Caso de
prueba</t>
  </si>
  <si>
    <t xml:space="preserve">Resultado
prueba</t>
  </si>
  <si>
    <t xml:space="preserve">Fecha última
prueba</t>
  </si>
  <si>
    <t xml:space="preserve">Estado actual</t>
  </si>
  <si>
    <t xml:space="preserve">RFC asociada</t>
  </si>
  <si>
    <t xml:space="preserve">Última
actualización</t>
  </si>
  <si>
    <t xml:space="preserve">Notas / Observaciones</t>
  </si>
  <si>
    <t xml:space="preserve">RF-EPC28-01</t>
  </si>
  <si>
    <t xml:space="preserve">Búsqueda en catálogo de alimentos</t>
  </si>
  <si>
    <t xml:space="preserve">Funcional</t>
  </si>
  <si>
    <t xml:space="preserve">NEG-EPC28-01</t>
  </si>
  <si>
    <t xml:space="preserve">Médico Nutricionista</t>
  </si>
  <si>
    <t xml:space="preserve">Must have</t>
  </si>
  <si>
    <t xml:space="preserve">SRS v1.0</t>
  </si>
  <si>
    <t xml:space="preserve">Búsqueda por nombre y visualización de: definición, origen, funcionalidad metabólica, macros/100g, índice glucémico y alérgenos.</t>
  </si>
  <si>
    <t xml:space="preserve">CatalogService.searchFood()</t>
  </si>
  <si>
    <t xml:space="preserve">Sprint 1</t>
  </si>
  <si>
    <t xml:space="preserve">Nicolas Mantilla Gelves</t>
  </si>
  <si>
    <t xml:space="preserve">TC_EPC28_01</t>
  </si>
  <si>
    <t xml:space="preserve">Pendiente</t>
  </si>
  <si>
    <t xml:space="preserve">Propuesto</t>
  </si>
  <si>
    <t xml:space="preserve">2026-09-23</t>
  </si>
  <si>
    <t xml:space="preserve">Fuente: Feature F-EPC28-02 / CA-EPC28-02</t>
  </si>
  <si>
    <t xml:space="preserve">RF-EPC28-02</t>
  </si>
  <si>
    <t xml:space="preserve">Búsqueda en catálogo de enfermedades nutricionales</t>
  </si>
  <si>
    <t xml:space="preserve">Búsqueda y visualización de: fisiopatología, criterios diagnósticos, diagnósticos diferenciales, dianas terapéuticas, alimentos contraindicados y micronutrientes.</t>
  </si>
  <si>
    <t xml:space="preserve">DiseaseCatalogService.search()</t>
  </si>
  <si>
    <t xml:space="preserve">TC_EPC28_02</t>
  </si>
  <si>
    <t xml:space="preserve">Fuente: Feature F-EPC28-03 / CA-EPC28-03</t>
  </si>
  <si>
    <t xml:space="preserve">RF-EPC28-03</t>
  </si>
  <si>
    <t xml:space="preserve">Consulta de nutrientes</t>
  </si>
  <si>
    <t xml:space="preserve">NEG-EPC28-02</t>
  </si>
  <si>
    <t xml:space="preserve">Consulta mostrando: tipología, subtipo, definición fisiológica, funcionalidad, enfermedades por déficit y fuentes alimentarias.</t>
  </si>
  <si>
    <t xml:space="preserve">NutrientService.getDetails()</t>
  </si>
  <si>
    <t xml:space="preserve">TC_EPC28_03</t>
  </si>
  <si>
    <t xml:space="preserve">Fuente: Feature F-EPC28-03 / CA-EPC28-04</t>
  </si>
  <si>
    <t xml:space="preserve">RF-EPC28-04</t>
  </si>
  <si>
    <t xml:space="preserve">Consulta de vitaminas y minerales</t>
  </si>
  <si>
    <t xml:space="preserve">Consulta mostrando: clasificación, funciones fisiológicas, RDA, síntomas de deficiencia y límites superiores seguros.</t>
  </si>
  <si>
    <t xml:space="preserve">VitaminService.getDetails()</t>
  </si>
  <si>
    <t xml:space="preserve">Fuente: Feature F-EPC28-04 / CA-EPC28-05</t>
  </si>
  <si>
    <t xml:space="preserve">RF-EPC28-05</t>
  </si>
  <si>
    <t xml:space="preserve">Creación de dietas prediseñadas</t>
  </si>
  <si>
    <t xml:space="preserve">Creación con: objetivos, aporte calórico, macros, alimentos componentes/desaconsejados, vía admin, duración, posología y suplementación.</t>
  </si>
  <si>
    <t xml:space="preserve">CatalogAdminService.*</t>
  </si>
  <si>
    <t xml:space="preserve">Sprint 2</t>
  </si>
  <si>
    <t xml:space="preserve">TC_EPC28_04</t>
  </si>
  <si>
    <t xml:space="preserve">Fuente: Transversal / CA-EPC28-06</t>
  </si>
  <si>
    <t xml:space="preserve">RF-EPC28-06</t>
  </si>
  <si>
    <t xml:space="preserve">Gestión CRUD de catálogos</t>
  </si>
  <si>
    <t xml:space="preserve">NEG-EPC28-03</t>
  </si>
  <si>
    <t xml:space="preserve">CRUD completo (Crear, Consultar, Actualizar, Listar) para alimentos, enfermedades, nutrientes, vitaminas/minerales y dietas.</t>
  </si>
  <si>
    <t xml:space="preserve">OfflineSyncService.sync()</t>
  </si>
  <si>
    <t xml:space="preserve">TC_EPC28_05</t>
  </si>
  <si>
    <t xml:space="preserve">Fuente: Transversal PWA / CA-EPC28-07</t>
  </si>
  <si>
    <t xml:space="preserve">RF-EPC28-07</t>
  </si>
  <si>
    <t xml:space="preserve">Funcionamiento offline de consulta de catálogos</t>
  </si>
  <si>
    <t xml:space="preserve">NEG-EPC28-04</t>
  </si>
  <si>
    <t xml:space="preserve">PWA permite consultar catálogos sincronizados sin internet, muestra indicador offline y sincroniza cambios al recuperar conexión.</t>
  </si>
  <si>
    <t xml:space="preserve">API.Catalog.Endpoints</t>
  </si>
  <si>
    <t xml:space="preserve">Sprint 3</t>
  </si>
  <si>
    <t xml:space="preserve">TC_EPC28_06</t>
  </si>
  <si>
    <t xml:space="preserve">Requisito No Funcional</t>
  </si>
  <si>
    <t xml:space="preserve">RNF-EPC28-01</t>
  </si>
  <si>
    <t xml:space="preserve">Rendimiento de búsqueda</t>
  </si>
  <si>
    <t xml:space="preserve">Rendimiento</t>
  </si>
  <si>
    <t xml:space="preserve">NEG-EPC28-05</t>
  </si>
  <si>
    <t xml:space="preserve">Arquitecto de Soluciones</t>
  </si>
  <si>
    <t xml:space="preserve">La búsqueda en catálogos debe responder en ≤ 2 s para un dataset de hasta 10.000 registros por catálogo.</t>
  </si>
  <si>
    <t xml:space="preserve">CatalogService.search()</t>
  </si>
  <si>
    <t xml:space="preserve">RNF-EPC28-02</t>
  </si>
  <si>
    <t xml:space="preserve">Seguridad y roles</t>
  </si>
  <si>
    <t xml:space="preserve">Restricción</t>
  </si>
  <si>
    <t xml:space="preserve">NEG-EPC28-06</t>
  </si>
  <si>
    <t xml:space="preserve">CISO / Seguridad</t>
  </si>
  <si>
    <t xml:space="preserve">Solo usuarios con rol "Médico nutricionista" (o superior) pueden crear/editar catálogos; consulta permitida a roles clínicos.</t>
  </si>
  <si>
    <t xml:space="preserve">AuthService.checkRole()</t>
  </si>
  <si>
    <t xml:space="preserve">RNF-EPC28-03</t>
  </si>
  <si>
    <t xml:space="preserve">Trazabilidad / Auditoría</t>
  </si>
  <si>
    <t xml:space="preserve">Seguridad</t>
  </si>
  <si>
    <t xml:space="preserve">Should have</t>
  </si>
  <si>
    <t xml:space="preserve">Toda modificación de un catálogo debe registrar usuario, fecha/hora y valores previos/nuevos.</t>
  </si>
  <si>
    <t xml:space="preserve">AuditLogger.logChange()</t>
  </si>
  <si>
    <t xml:space="preserve">RNF-EPC28-04</t>
  </si>
  <si>
    <t xml:space="preserve">Integridad referencial</t>
  </si>
  <si>
    <t xml:space="preserve">NEG-EPC28-07</t>
  </si>
  <si>
    <t xml:space="preserve">Un alimento referenciado en una dieta no puede eliminarse sin validación de integridad.</t>
  </si>
  <si>
    <t xml:space="preserve">DietService.validateIntegrity()</t>
  </si>
  <si>
    <t xml:space="preserve">RNF-EPC28-05</t>
  </si>
  <si>
    <t xml:space="preserve">Interoperabilidad</t>
  </si>
  <si>
    <t xml:space="preserve">Requisito</t>
  </si>
  <si>
    <t xml:space="preserve">NEG-EPC28-08</t>
  </si>
  <si>
    <t xml:space="preserve">Los catálogos deben ser consumibles por la épica de Asignación de tratamiento nutricional (motor de cruce).</t>
  </si>
  <si>
    <t xml:space="preserve">RNF-EPC28-06</t>
  </si>
  <si>
    <t xml:space="preserve">Disponibilidad</t>
  </si>
  <si>
    <t xml:space="preserve">Servicio disponible 99.5% mensual (SLA Azure).</t>
  </si>
  <si>
    <t xml:space="preserve">Azure App Service</t>
  </si>
  <si>
    <t xml:space="preserve">RNF-EPC28-07</t>
  </si>
  <si>
    <t xml:space="preserve">Escalabilidad</t>
  </si>
  <si>
    <t xml:space="preserve">Soporte de crecimiento horizontal en Azure App Service / AKS.</t>
  </si>
  <si>
    <t xml:space="preserve">Azure AKS</t>
  </si>
  <si>
    <t xml:space="preserve">RNF-EPC28-08</t>
  </si>
  <si>
    <t xml:space="preserve">PWA Instalable</t>
  </si>
  <si>
    <t xml:space="preserve">Product Owner</t>
  </si>
  <si>
    <t xml:space="preserve">Cumplir criterios Lighthouse PWA: manifest válido, service worker, HTTPS, iconos 192/512, display standalone.</t>
  </si>
  <si>
    <t xml:space="preserve">PWA.Manifest</t>
  </si>
  <si>
    <t xml:space="preserve">RNF-EPC28-09</t>
  </si>
  <si>
    <t xml:space="preserve">Offline-first</t>
  </si>
  <si>
    <t xml:space="preserve">Estrategia de caché (Workbox): precache de shell + runtime caching para API de catálogos con IndexedDB.</t>
  </si>
  <si>
    <t xml:space="preserve">ServiceWorker.cache</t>
  </si>
  <si>
    <t xml:space="preserve">RNF-EPC28-10</t>
  </si>
  <si>
    <t xml:space="preserve">Responsive / Accesibilidad</t>
  </si>
  <si>
    <t xml:space="preserve">Diseño responsive mobile-first, WCAG 2.1 AA, navegación por teclado.</t>
  </si>
  <si>
    <t xml:space="preserve">UI.Frontend</t>
  </si>
  <si>
    <t xml:space="preserve">RNF-EPC28-11</t>
  </si>
  <si>
    <t xml:space="preserve">Sincronización en background</t>
  </si>
  <si>
    <t xml:space="preserve">Uso de Background Sync API para reintentar mutaciones pendientes al recuperar conexión.</t>
  </si>
  <si>
    <t xml:space="preserve">SyncManager.retry()</t>
  </si>
  <si>
    <t xml:space="preserve">TRAZABILIDAD VISUAL — Requisitos × Artefactos</t>
  </si>
  <si>
    <t xml:space="preserve">Necesidades</t>
  </si>
  <si>
    <t xml:space="preserve">Casos de prueba</t>
  </si>
  <si>
    <t xml:space="preserve">Módulos código</t>
  </si>
  <si>
    <t xml:space="preserve">ID Req.</t>
  </si>
  <si>
    <t xml:space="preserve">Título (abrev.)</t>
  </si>
  <si>
    <t xml:space="preserve">NEG-01</t>
  </si>
  <si>
    <t xml:space="preserve">NEG-02</t>
  </si>
  <si>
    <t xml:space="preserve">NEG-05</t>
  </si>
  <si>
    <t xml:space="preserve">NEG-06</t>
  </si>
  <si>
    <t xml:space="preserve">TC-007</t>
  </si>
  <si>
    <t xml:space="preserve">TC-021</t>
  </si>
  <si>
    <t xml:space="preserve">TC-040</t>
  </si>
  <si>
    <t xml:space="preserve">TC-055</t>
  </si>
  <si>
    <t xml:space="preserve">TC-090</t>
  </si>
  <si>
    <t xml:space="preserve">AuthSvc</t>
  </si>
  <si>
    <t xml:space="preserve">OrderCtrl</t>
  </si>
  <si>
    <t xml:space="preserve">GDPRSvc</t>
  </si>
  <si>
    <t xml:space="preserve">Cobertura total (%)</t>
  </si>
  <si>
    <t xml:space="preserve">RESUMEN Y MÉTRICAS — Dashboard de trazabilidad</t>
  </si>
  <si>
    <t xml:space="preserve">Las métricas se calculan automáticamente a partir de la hoja '📋 Matriz principal'</t>
  </si>
  <si>
    <t xml:space="preserve">Total requisitos</t>
  </si>
  <si>
    <t xml:space="preserve">Verificados</t>
  </si>
  <si>
    <t xml:space="preserve">En desarrollo</t>
  </si>
  <si>
    <t xml:space="preserve">Bloqueados / Fallidos</t>
  </si>
  <si>
    <t xml:space="preserve">Sin caso de prueba</t>
  </si>
  <si>
    <t xml:space="preserve">DISTRIBUCIÓN DE ESTADOS</t>
  </si>
  <si>
    <t xml:space="preserve">Aprobado</t>
  </si>
  <si>
    <t xml:space="preserve">Implementado</t>
  </si>
  <si>
    <t xml:space="preserve">Verificado</t>
  </si>
  <si>
    <t xml:space="preserve">Aplazado</t>
  </si>
  <si>
    <t xml:space="preserve">Rechazado</t>
  </si>
  <si>
    <t xml:space="preserve">Archivado</t>
  </si>
  <si>
    <t xml:space="preserve">DISTRIBUCIÓN POR PRIORIDAD (MoSCoW)</t>
  </si>
  <si>
    <t xml:space="preserve">Could have</t>
  </si>
  <si>
    <t xml:space="preserve">Won't have</t>
  </si>
  <si>
    <t xml:space="preserve">ALERTAS DE COBERTURA — Requisitos sin caso de prueba asignado</t>
  </si>
  <si>
    <t xml:space="preserve">Título</t>
  </si>
  <si>
    <t xml:space="preserve">Prioridad</t>
  </si>
  <si>
    <t xml:space="preserve">Estado</t>
  </si>
  <si>
    <t xml:space="preserve">Responsable</t>
  </si>
  <si>
    <t xml:space="preserve">Sprint</t>
  </si>
  <si>
    <t xml:space="preserve">→ Filtra la hoja 'Matriz principal' por columna L (ID Caso de prueba) vacía para ver los requisitos sin cobertura de prueba.</t>
  </si>
  <si>
    <t xml:space="preserve">REGISTRO DE SOLICITUDES DE CAMBIO (RFC)</t>
  </si>
  <si>
    <t xml:space="preserve">ID RFC</t>
  </si>
  <si>
    <t xml:space="preserve">Título del cambio</t>
  </si>
  <si>
    <t xml:space="preserve">Solicitante</t>
  </si>
  <si>
    <t xml:space="preserve">Fecha solicitud</t>
  </si>
  <si>
    <t xml:space="preserve">Requisito(s) afect.</t>
  </si>
  <si>
    <t xml:space="preserve">Artefactos impactados</t>
  </si>
  <si>
    <t xml:space="preserve">Decisión CCB</t>
  </si>
  <si>
    <t xml:space="preserve">Fecha decisión</t>
  </si>
  <si>
    <t xml:space="preserve">Responsable impl.</t>
  </si>
  <si>
    <t xml:space="preserve">Sprint impl.</t>
  </si>
  <si>
    <t xml:space="preserve">Estado RFC</t>
  </si>
  <si>
    <t xml:space="preserve">Notas</t>
  </si>
  <si>
    <t xml:space="preserve">RFC-017</t>
  </si>
  <si>
    <t xml:space="preserve">Ampliar timeout de autenticación a 60 s</t>
  </si>
  <si>
    <t xml:space="preserve">2025-09-10</t>
  </si>
  <si>
    <t xml:space="preserve">Alta</t>
  </si>
  <si>
    <t xml:space="preserve">REQ-001, REQ-002</t>
  </si>
  <si>
    <t xml:space="preserve">SRS v3.2, TC-007, TC-008, TC-009, SessionManager</t>
  </si>
  <si>
    <t xml:space="preserve">RFC-020</t>
  </si>
  <si>
    <t xml:space="preserve">Integración con Google Workspace (OIDC)</t>
  </si>
  <si>
    <t xml:space="preserve">Arquitecto de soluciones</t>
  </si>
  <si>
    <t xml:space="preserve">2025-10-01</t>
  </si>
  <si>
    <t xml:space="preserve">Media</t>
  </si>
  <si>
    <t xml:space="preserve">REQ-004</t>
  </si>
  <si>
    <t xml:space="preserve">SRS v4.0, TC-040, TC-041, OAuthController</t>
  </si>
  <si>
    <t xml:space="preserve">RFC-022</t>
  </si>
  <si>
    <t xml:space="preserve">Corregir ventana de cancelación de pedido</t>
  </si>
  <si>
    <t xml:space="preserve">QA Lead</t>
  </si>
  <si>
    <t xml:space="preserve">2025-11-25</t>
  </si>
  <si>
    <t xml:space="preserve">REQ-008</t>
  </si>
  <si>
    <t xml:space="preserve">OrderController.cancel(), TC-071, Plan sprint 10</t>
  </si>
  <si>
    <t xml:space="preserve">RFC-023</t>
  </si>
  <si>
    <t xml:space="preserve">GDPR: anonimización y eliminación de datos</t>
  </si>
  <si>
    <t xml:space="preserve">Legal / Compliance</t>
  </si>
  <si>
    <t xml:space="preserve">2025-11-28</t>
  </si>
  <si>
    <t xml:space="preserve">Crítica</t>
  </si>
  <si>
    <t xml:space="preserve">REQ-011, REQ-012</t>
  </si>
  <si>
    <t xml:space="preserve">GDPRService, AuditLogger, TC-090, TC-091, SRS v1.0</t>
  </si>
  <si>
    <t xml:space="preserve">RFC-019</t>
  </si>
  <si>
    <t xml:space="preserve">Agregar módulo de BI para análisis de pedidos</t>
  </si>
  <si>
    <t xml:space="preserve">Director Comercial</t>
  </si>
  <si>
    <t xml:space="preserve">2025-09-20</t>
  </si>
  <si>
    <t xml:space="preserve">Ninguno (nuevo alcance)</t>
  </si>
  <si>
    <t xml:space="preserve">Plan de proyecto, presupuesto, arquitectura</t>
  </si>
  <si>
    <t xml:space="preserve">CATÁLOGO DE ARTEFACTOS</t>
  </si>
  <si>
    <t xml:space="preserve">ID Artefacto</t>
  </si>
  <si>
    <t xml:space="preserve">Nombre / Descripción</t>
  </si>
  <si>
    <t xml:space="preserve">Versión actual</t>
  </si>
  <si>
    <t xml:space="preserve">Propietario</t>
  </si>
  <si>
    <t xml:space="preserve">Última actualización</t>
  </si>
  <si>
    <t xml:space="preserve">Requisitos vinculados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</si>
</sst>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47">
    <font>
      <sz val="11"/>
      <color theme="1"/>
      <name val="Robo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  <charset val="1"/>
    </font>
    <font>
      <i val="true"/>
      <sz val="10"/>
      <color theme="9" tint="-0.5"/>
      <name val="Arial"/>
      <family val="2"/>
      <charset val="1"/>
    </font>
    <font>
      <b val="true"/>
      <sz val="11"/>
      <color rgb="FF1A1A1A"/>
      <name val="Arial"/>
      <family val="2"/>
      <charset val="1"/>
    </font>
    <font>
      <sz val="9"/>
      <color rgb="FF1A1A1A"/>
      <name val="Arial"/>
      <family val="2"/>
      <charset val="1"/>
    </font>
    <font>
      <b val="true"/>
      <sz val="9"/>
      <color theme="9" tint="-0.5"/>
      <name val="Arial"/>
      <family val="2"/>
      <charset val="1"/>
    </font>
    <font>
      <b val="true"/>
      <sz val="9"/>
      <color rgb="FF27500A"/>
      <name val="Arial"/>
      <family val="2"/>
      <charset val="1"/>
    </font>
    <font>
      <sz val="9"/>
      <color rgb="FF555555"/>
      <name val="Arial"/>
      <family val="2"/>
      <charset val="1"/>
    </font>
    <font>
      <b val="true"/>
      <sz val="9"/>
      <color rgb="FF633806"/>
      <name val="Arial"/>
      <family val="2"/>
      <charset val="1"/>
    </font>
    <font>
      <b val="true"/>
      <sz val="9"/>
      <color rgb="FF791F1F"/>
      <name val="Arial"/>
      <family val="2"/>
      <charset val="1"/>
    </font>
    <font>
      <b val="true"/>
      <sz val="9"/>
      <color rgb="FF0C447C"/>
      <name val="Arial"/>
      <family val="2"/>
      <charset val="1"/>
    </font>
    <font>
      <b val="true"/>
      <sz val="9"/>
      <color rgb="FF3C3489"/>
      <name val="Arial"/>
      <family val="2"/>
      <charset val="1"/>
    </font>
    <font>
      <b val="true"/>
      <sz val="9"/>
      <color rgb="FF888780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1A1A1A"/>
      <name val="Arial"/>
      <family val="2"/>
      <charset val="1"/>
    </font>
    <font>
      <sz val="10"/>
      <color rgb="FF1A1A1A"/>
      <name val="Times New Roman"/>
      <family val="1"/>
    </font>
    <font>
      <b val="true"/>
      <sz val="8"/>
      <color rgb="FFFFFFFF"/>
      <name val="Arial"/>
      <family val="2"/>
      <charset val="1"/>
    </font>
    <font>
      <b val="true"/>
      <sz val="9"/>
      <color rgb="FF993556"/>
      <name val="Arial"/>
      <family val="2"/>
      <charset val="1"/>
    </font>
    <font>
      <b val="true"/>
      <sz val="10"/>
      <color rgb="FF27500A"/>
      <name val="Arial"/>
      <family val="2"/>
      <charset val="1"/>
    </font>
    <font>
      <i val="true"/>
      <sz val="9"/>
      <color rgb="FFD4537E"/>
      <name val="Arial"/>
      <family val="2"/>
      <charset val="1"/>
    </font>
    <font>
      <sz val="9"/>
      <color rgb="FFFFFFFF"/>
      <name val="Arial"/>
      <family val="2"/>
      <charset val="1"/>
    </font>
    <font>
      <b val="true"/>
      <sz val="22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8"/>
      <color rgb="FF0C447C"/>
      <name val="Arial"/>
      <family val="2"/>
      <charset val="1"/>
    </font>
    <font>
      <b val="true"/>
      <sz val="8"/>
      <color rgb="FF085041"/>
      <name val="Arial"/>
      <family val="2"/>
      <charset val="1"/>
    </font>
    <font>
      <b val="true"/>
      <sz val="8"/>
      <color rgb="FF633806"/>
      <name val="Arial"/>
      <family val="2"/>
      <charset val="1"/>
    </font>
    <font>
      <b val="true"/>
      <sz val="8"/>
      <color rgb="FF27500A"/>
      <name val="Arial"/>
      <family val="2"/>
      <charset val="1"/>
    </font>
    <font>
      <b val="true"/>
      <sz val="8"/>
      <color rgb="FF3C3489"/>
      <name val="Arial"/>
      <family val="2"/>
      <charset val="1"/>
    </font>
    <font>
      <b val="true"/>
      <sz val="8"/>
      <color rgb="FF791F1F"/>
      <name val="Arial"/>
      <family val="2"/>
      <charset val="1"/>
    </font>
    <font>
      <b val="true"/>
      <sz val="8"/>
      <color rgb="FF888780"/>
      <name val="Arial"/>
      <family val="2"/>
      <charset val="1"/>
    </font>
    <font>
      <b val="true"/>
      <sz val="16"/>
      <color rgb="FF0C447C"/>
      <name val="Arial"/>
      <family val="2"/>
      <charset val="1"/>
    </font>
    <font>
      <b val="true"/>
      <sz val="16"/>
      <color rgb="FF085041"/>
      <name val="Arial"/>
      <family val="2"/>
      <charset val="1"/>
    </font>
    <font>
      <b val="true"/>
      <sz val="16"/>
      <color rgb="FF633806"/>
      <name val="Arial"/>
      <family val="2"/>
      <charset val="1"/>
    </font>
    <font>
      <b val="true"/>
      <sz val="16"/>
      <color rgb="FF27500A"/>
      <name val="Arial"/>
      <family val="2"/>
      <charset val="1"/>
    </font>
    <font>
      <b val="true"/>
      <sz val="16"/>
      <color rgb="FF3C3489"/>
      <name val="Arial"/>
      <family val="2"/>
      <charset val="1"/>
    </font>
    <font>
      <b val="true"/>
      <sz val="16"/>
      <color rgb="FF791F1F"/>
      <name val="Arial"/>
      <family val="2"/>
      <charset val="1"/>
    </font>
    <font>
      <b val="true"/>
      <sz val="16"/>
      <color rgb="FF888780"/>
      <name val="Arial"/>
      <family val="2"/>
      <charset val="1"/>
    </font>
    <font>
      <b val="true"/>
      <sz val="18"/>
      <color rgb="FF791F1F"/>
      <name val="Arial"/>
      <family val="2"/>
      <charset val="1"/>
    </font>
    <font>
      <b val="true"/>
      <sz val="18"/>
      <color rgb="FF633806"/>
      <name val="Arial"/>
      <family val="2"/>
      <charset val="1"/>
    </font>
    <font>
      <b val="true"/>
      <sz val="18"/>
      <color rgb="FF0C447C"/>
      <name val="Arial"/>
      <family val="2"/>
      <charset val="1"/>
    </font>
    <font>
      <b val="true"/>
      <sz val="18"/>
      <color rgb="FF888780"/>
      <name val="Arial"/>
      <family val="2"/>
      <charset val="1"/>
    </font>
    <font>
      <i val="true"/>
      <sz val="9"/>
      <color rgb="FF791F1F"/>
      <name val="Arial"/>
      <family val="2"/>
      <charset val="1"/>
    </font>
    <font>
      <b val="true"/>
      <sz val="9"/>
      <color rgb="FF085041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9" tint="-0.5"/>
        <bgColor rgb="FF555555"/>
      </patternFill>
    </fill>
    <fill>
      <patternFill patternType="solid">
        <fgColor theme="9" tint="0.7999"/>
        <bgColor rgb="FFE6F1FB"/>
      </patternFill>
    </fill>
    <fill>
      <patternFill patternType="solid">
        <fgColor rgb="FFF5F4F2"/>
        <bgColor rgb="FFFDF5F8"/>
      </patternFill>
    </fill>
    <fill>
      <patternFill patternType="solid">
        <fgColor rgb="FFFFFFFF"/>
        <bgColor rgb="FFFDF5F8"/>
      </patternFill>
    </fill>
    <fill>
      <patternFill patternType="solid">
        <fgColor rgb="FFEAF3DE"/>
        <bgColor rgb="FFE1F5EE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BEAF0"/>
      </patternFill>
    </fill>
    <fill>
      <patternFill patternType="solid">
        <fgColor rgb="FFE6F1FB"/>
        <bgColor rgb="FFE5EDEF"/>
      </patternFill>
    </fill>
    <fill>
      <patternFill patternType="solid">
        <fgColor rgb="FFEEEDFE"/>
        <bgColor rgb="FFE6F1FB"/>
      </patternFill>
    </fill>
    <fill>
      <patternFill patternType="solid">
        <fgColor rgb="FFBA7517"/>
        <bgColor rgb="FFFF6600"/>
      </patternFill>
    </fill>
    <fill>
      <patternFill patternType="solid">
        <fgColor rgb="FF185FA5"/>
        <bgColor rgb="FF0C447C"/>
      </patternFill>
    </fill>
    <fill>
      <patternFill patternType="solid">
        <fgColor rgb="FF1D9E75"/>
        <bgColor rgb="FF008080"/>
      </patternFill>
    </fill>
    <fill>
      <patternFill patternType="solid">
        <fgColor rgb="FF3B6D11"/>
        <bgColor rgb="FF27500A"/>
      </patternFill>
    </fill>
    <fill>
      <patternFill patternType="solid">
        <fgColor rgb="FF7F77DD"/>
        <bgColor rgb="FF888780"/>
      </patternFill>
    </fill>
    <fill>
      <patternFill patternType="solid">
        <fgColor rgb="FFFDF5F8"/>
        <bgColor rgb="FFF5F4F2"/>
      </patternFill>
    </fill>
    <fill>
      <patternFill patternType="solid">
        <fgColor rgb="FFFBEAF0"/>
        <bgColor rgb="FFFCEBEB"/>
      </patternFill>
    </fill>
    <fill>
      <patternFill patternType="solid">
        <fgColor rgb="FFA32D2D"/>
        <bgColor rgb="FF993556"/>
      </patternFill>
    </fill>
    <fill>
      <patternFill patternType="solid">
        <fgColor rgb="FFE1F5EE"/>
        <bgColor rgb="FFE6F1FB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/>
      <diagonal/>
    </border>
    <border diagonalUp="false" diagonalDown="false">
      <left style="thin">
        <color rgb="FFDDCCCC"/>
      </left>
      <right/>
      <top style="thin">
        <color rgb="FFDDCCCC"/>
      </top>
      <bottom style="thin">
        <color rgb="FFDDCCCC"/>
      </bottom>
      <diagonal/>
    </border>
    <border diagonalUp="false" diagonalDown="false">
      <left style="thin">
        <color rgb="FF993556"/>
      </left>
      <right/>
      <top/>
      <bottom style="thin">
        <color rgb="FF993556"/>
      </bottom>
      <diagonal/>
    </border>
    <border diagonalUp="false" diagonalDown="false">
      <left style="thin">
        <color rgb="FFBA7517"/>
      </left>
      <right/>
      <top/>
      <bottom style="thin">
        <color rgb="FFBA7517"/>
      </bottom>
      <diagonal/>
    </border>
    <border diagonalUp="false" diagonalDown="false">
      <left style="thin">
        <color rgb="FF185FA5"/>
      </left>
      <right/>
      <top/>
      <bottom style="thin">
        <color rgb="FF185FA5"/>
      </bottom>
      <diagonal/>
    </border>
    <border diagonalUp="false" diagonalDown="false">
      <left style="thin">
        <color rgb="FF1D9E75"/>
      </left>
      <right/>
      <top/>
      <bottom style="thin">
        <color rgb="FF1D9E75"/>
      </bottom>
      <diagonal/>
    </border>
    <border diagonalUp="false" diagonalDown="false">
      <left style="thin">
        <color rgb="FF3B6D11"/>
      </left>
      <right/>
      <top/>
      <bottom style="thin">
        <color rgb="FF3B6D11"/>
      </bottom>
      <diagonal/>
    </border>
    <border diagonalUp="false" diagonalDown="false">
      <left style="thin">
        <color rgb="FF7F77DD"/>
      </left>
      <right/>
      <top/>
      <bottom style="thin">
        <color rgb="FF7F77DD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BA7517"/>
      </left>
      <right/>
      <top style="thin">
        <color rgb="FFBA7517"/>
      </top>
      <bottom style="thin">
        <color rgb="FFBA7517"/>
      </bottom>
      <diagonal/>
    </border>
    <border diagonalUp="false" diagonalDown="false">
      <left style="thin">
        <color rgb="FF3B6D11"/>
      </left>
      <right/>
      <top style="thin">
        <color rgb="FF3B6D11"/>
      </top>
      <bottom style="thin">
        <color rgb="FF3B6D11"/>
      </bottom>
      <diagonal/>
    </border>
    <border diagonalUp="false" diagonalDown="false">
      <left style="thin">
        <color rgb="FF1D9E75"/>
      </left>
      <right/>
      <top style="thin">
        <color rgb="FF1D9E75"/>
      </top>
      <bottom style="thin">
        <color rgb="FF1D9E75"/>
      </bottom>
      <diagonal/>
    </border>
    <border diagonalUp="false" diagonalDown="false">
      <left/>
      <right style="thin">
        <color rgb="FF3B6D11"/>
      </right>
      <top style="thin">
        <color rgb="FF3B6D11"/>
      </top>
      <bottom style="thin">
        <color rgb="FF3B6D11"/>
      </bottom>
      <diagonal/>
    </border>
    <border diagonalUp="false" diagonalDown="false"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 diagonalUp="false" diagonalDown="false">
      <left/>
      <right/>
      <top style="thin">
        <color rgb="FF3B6D11"/>
      </top>
      <bottom style="thin">
        <color rgb="FF3B6D11"/>
      </bottom>
      <diagonal/>
    </border>
    <border diagonalUp="false" diagonalDown="false">
      <left style="thin">
        <color rgb="FFA32D2D"/>
      </left>
      <right/>
      <top style="thin">
        <color rgb="FFA32D2D"/>
      </top>
      <bottom style="thin">
        <color rgb="FFA32D2D"/>
      </bottom>
      <diagonal/>
    </border>
    <border diagonalUp="false" diagonalDown="false">
      <left style="thin">
        <color rgb="FF7F77DD"/>
      </left>
      <right/>
      <top style="thin">
        <color rgb="FF7F77DD"/>
      </top>
      <bottom style="thin">
        <color rgb="FF7F77DD"/>
      </bottom>
      <diagonal/>
    </border>
    <border diagonalUp="false" diagonalDown="false"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 diagonalUp="false" diagonalDown="false">
      <left style="thin">
        <color rgb="FFDDDDDD"/>
      </left>
      <right/>
      <top/>
      <bottom style="thin">
        <color rgb="FFDDDDDD"/>
      </bottom>
      <diagonal/>
    </border>
    <border diagonalUp="false" diagonalDown="false">
      <left style="thin">
        <color rgb="FF791F1F"/>
      </left>
      <right style="thin">
        <color rgb="FF791F1F"/>
      </right>
      <top/>
      <bottom/>
      <diagonal/>
    </border>
    <border diagonalUp="false" diagonalDown="false">
      <left/>
      <right/>
      <top/>
      <bottom style="thin">
        <color theme="9" tint="0.7999"/>
      </bottom>
      <diagonal/>
    </border>
    <border diagonalUp="false" diagonalDown="false">
      <left style="thin">
        <color theme="9" tint="0.7999"/>
      </left>
      <right style="thin">
        <color theme="9" tint="0.7999"/>
      </right>
      <top style="thin">
        <color theme="9" tint="0.7999"/>
      </top>
      <bottom style="thin">
        <color theme="9" tint="0.7999"/>
      </bottom>
      <diagonal/>
    </border>
    <border diagonalUp="false" diagonalDown="false">
      <left/>
      <right/>
      <top style="thin">
        <color theme="9" tint="0.7999"/>
      </top>
      <bottom style="thin">
        <color theme="9" tint="0.7999"/>
      </bottom>
      <diagonal/>
    </border>
    <border diagonalUp="false" diagonalDown="false">
      <left style="thin">
        <color theme="9" tint="0.7999"/>
      </left>
      <right/>
      <top style="thin">
        <color theme="9" tint="0.7999"/>
      </top>
      <bottom style="thin">
        <color theme="9" tint="0.7999"/>
      </bottom>
      <diagonal/>
    </border>
    <border diagonalUp="false" diagonalDown="false">
      <left style="thin">
        <color rgb="FFD4537E"/>
      </left>
      <right/>
      <top/>
      <bottom style="thin">
        <color rgb="FFD4537E"/>
      </bottom>
      <diagonal/>
    </border>
    <border diagonalUp="false" diagonalDown="false">
      <left style="thin">
        <color theme="9" tint="0.7999"/>
      </left>
      <right style="thin">
        <color theme="9" tint="0.7999"/>
      </right>
      <top style="thin">
        <color theme="9" tint="0.7999"/>
      </top>
      <bottom style="thin">
        <color rgb="FFD4537E"/>
      </bottom>
      <diagonal/>
    </border>
    <border diagonalUp="false" diagonalDown="false">
      <left/>
      <right/>
      <top/>
      <bottom style="thin">
        <color rgb="FFD4537E"/>
      </bottom>
      <diagonal/>
    </border>
    <border diagonalUp="false" diagonalDown="false">
      <left style="thin">
        <color theme="9" tint="0.7999"/>
      </left>
      <right style="thin">
        <color rgb="FFD4537E"/>
      </right>
      <top style="thin">
        <color theme="9" tint="0.7999"/>
      </top>
      <bottom style="thin">
        <color rgb="FFD4537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9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F5F8"/>
      <rgbColor rgb="FFFF00FF"/>
      <rgbColor rgb="FF00FFFF"/>
      <rgbColor rgb="FF791F1F"/>
      <rgbColor rgb="FF3B6D11"/>
      <rgbColor rgb="FF000080"/>
      <rgbColor rgb="FFBA7517"/>
      <rgbColor rgb="FF800080"/>
      <rgbColor rgb="FF39575B"/>
      <rgbColor rgb="FFDDCCCC"/>
      <rgbColor rgb="FF888780"/>
      <rgbColor rgb="FF7F77DD"/>
      <rgbColor rgb="FF993556"/>
      <rgbColor rgb="FFFAEEDA"/>
      <rgbColor rgb="FFE1F5EE"/>
      <rgbColor rgb="FF660066"/>
      <rgbColor rgb="FFFF8080"/>
      <rgbColor rgb="FF185FA5"/>
      <rgbColor rgb="FFDDDDDD"/>
      <rgbColor rgb="FF000080"/>
      <rgbColor rgb="FFFF00FF"/>
      <rgbColor rgb="FFFFFF00"/>
      <rgbColor rgb="FF00FFFF"/>
      <rgbColor rgb="FF800080"/>
      <rgbColor rgb="FF633806"/>
      <rgbColor rgb="FF008080"/>
      <rgbColor rgb="FF0000FF"/>
      <rgbColor rgb="FF00CCFF"/>
      <rgbColor rgb="FFE6F1FB"/>
      <rgbColor rgb="FFEAF3DE"/>
      <rgbColor rgb="FFF5F4F2"/>
      <rgbColor rgb="FFE5EDEF"/>
      <rgbColor rgb="FFFBEAF0"/>
      <rgbColor rgb="FFEEEDFE"/>
      <rgbColor rgb="FFFCEBE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1D9E75"/>
      <rgbColor rgb="FF085041"/>
      <rgbColor rgb="FF27500A"/>
      <rgbColor rgb="FFA32D2D"/>
      <rgbColor rgb="FFD4537E"/>
      <rgbColor rgb="FF3C348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Roboto">
      <a:majorFont>
        <a:latin typeface="Roboto" pitchFamily="0" charset="1"/>
        <a:ea typeface=""/>
        <a:cs typeface=""/>
      </a:majorFont>
      <a:minorFont>
        <a:latin typeface="Roboto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33" activeCellId="0" sqref="C33"/>
    </sheetView>
  </sheetViews>
  <sheetFormatPr defaultColWidth="8.83593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4" min="3" style="0" width="30"/>
    <col collapsed="false" customWidth="true" hidden="false" outlineLevel="0" max="8" min="5" style="0" width="20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A9" s="3" t="s">
        <v>4</v>
      </c>
      <c r="B9" s="3"/>
      <c r="C9" s="3"/>
      <c r="D9" s="3"/>
      <c r="E9" s="3"/>
      <c r="F9" s="3"/>
      <c r="G9" s="3"/>
      <c r="H9" s="3"/>
    </row>
    <row r="10" customFormat="false" ht="21.75" hidden="false" customHeight="true" outlineLevel="0" collapsed="false">
      <c r="A10" s="5" t="s">
        <v>5</v>
      </c>
      <c r="B10" s="5"/>
      <c r="C10" s="6" t="s">
        <v>6</v>
      </c>
      <c r="D10" s="6"/>
      <c r="E10" s="6"/>
      <c r="F10" s="6"/>
      <c r="G10" s="6"/>
      <c r="H10" s="6"/>
    </row>
    <row r="11" customFormat="false" ht="21.75" hidden="false" customHeight="true" outlineLevel="0" collapsed="false">
      <c r="A11" s="5" t="s">
        <v>7</v>
      </c>
      <c r="B11" s="5"/>
      <c r="C11" s="6" t="s">
        <v>8</v>
      </c>
      <c r="D11" s="6"/>
      <c r="E11" s="6"/>
      <c r="F11" s="6"/>
      <c r="G11" s="6"/>
      <c r="H11" s="6"/>
    </row>
    <row r="12" customFormat="false" ht="21.75" hidden="false" customHeight="true" outlineLevel="0" collapsed="false">
      <c r="A12" s="5" t="s">
        <v>9</v>
      </c>
      <c r="B12" s="5"/>
      <c r="C12" s="6" t="s">
        <v>10</v>
      </c>
      <c r="D12" s="6"/>
      <c r="E12" s="6"/>
      <c r="F12" s="6"/>
      <c r="G12" s="6"/>
      <c r="H12" s="6"/>
    </row>
    <row r="13" customFormat="false" ht="21.75" hidden="false" customHeight="true" outlineLevel="0" collapsed="false">
      <c r="A13" s="5" t="s">
        <v>11</v>
      </c>
      <c r="B13" s="5"/>
      <c r="C13" s="6" t="s">
        <v>12</v>
      </c>
      <c r="D13" s="6"/>
      <c r="E13" s="6"/>
      <c r="F13" s="6"/>
      <c r="G13" s="6"/>
      <c r="H13" s="6"/>
    </row>
    <row r="14" customFormat="false" ht="21.75" hidden="false" customHeight="true" outlineLevel="0" collapsed="false">
      <c r="A14" s="5" t="s">
        <v>13</v>
      </c>
      <c r="B14" s="5"/>
      <c r="C14" s="6" t="s">
        <v>14</v>
      </c>
      <c r="D14" s="6"/>
      <c r="E14" s="6"/>
      <c r="F14" s="6"/>
      <c r="G14" s="6"/>
      <c r="H14" s="6"/>
    </row>
    <row r="15" customFormat="false" ht="7.5" hidden="false" customHeight="true" outlineLevel="0" collapsed="false"/>
    <row r="16" customFormat="false" ht="15" hidden="false" customHeight="false" outlineLevel="0" collapsed="false">
      <c r="A16" s="7" t="s">
        <v>15</v>
      </c>
      <c r="B16" s="7"/>
      <c r="C16" s="7"/>
      <c r="D16" s="7"/>
      <c r="E16" s="7"/>
      <c r="F16" s="7"/>
      <c r="G16" s="7"/>
      <c r="H16" s="7"/>
    </row>
    <row r="17" customFormat="false" ht="19.5" hidden="false" customHeight="true" outlineLevel="0" collapsed="false">
      <c r="A17" s="8" t="s">
        <v>16</v>
      </c>
      <c r="B17" s="8"/>
      <c r="C17" s="8"/>
      <c r="D17" s="9" t="s">
        <v>17</v>
      </c>
      <c r="E17" s="9"/>
      <c r="F17" s="9"/>
      <c r="G17" s="9"/>
      <c r="H17" s="9"/>
    </row>
    <row r="18" customFormat="false" ht="19.5" hidden="false" customHeight="true" outlineLevel="0" collapsed="false">
      <c r="A18" s="10" t="s">
        <v>18</v>
      </c>
      <c r="B18" s="10"/>
      <c r="C18" s="10"/>
      <c r="D18" s="9" t="s">
        <v>19</v>
      </c>
      <c r="E18" s="9"/>
      <c r="F18" s="9"/>
      <c r="G18" s="9"/>
      <c r="H18" s="9"/>
    </row>
    <row r="19" customFormat="false" ht="19.5" hidden="false" customHeight="true" outlineLevel="0" collapsed="false">
      <c r="A19" s="11" t="s">
        <v>20</v>
      </c>
      <c r="B19" s="11"/>
      <c r="C19" s="11"/>
      <c r="D19" s="9" t="s">
        <v>21</v>
      </c>
      <c r="E19" s="9"/>
      <c r="F19" s="9"/>
      <c r="G19" s="9"/>
      <c r="H19" s="9"/>
    </row>
    <row r="20" customFormat="false" ht="19.5" hidden="false" customHeight="true" outlineLevel="0" collapsed="false">
      <c r="A20" s="12" t="s">
        <v>22</v>
      </c>
      <c r="B20" s="12"/>
      <c r="C20" s="12"/>
      <c r="D20" s="9" t="s">
        <v>23</v>
      </c>
      <c r="E20" s="9"/>
      <c r="F20" s="9"/>
      <c r="G20" s="9"/>
      <c r="H20" s="9"/>
    </row>
    <row r="21" customFormat="false" ht="19.5" hidden="false" customHeight="true" outlineLevel="0" collapsed="false">
      <c r="A21" s="13" t="s">
        <v>24</v>
      </c>
      <c r="B21" s="13"/>
      <c r="C21" s="13"/>
      <c r="D21" s="9" t="s">
        <v>25</v>
      </c>
      <c r="E21" s="9"/>
      <c r="F21" s="9"/>
      <c r="G21" s="9"/>
      <c r="H21" s="9"/>
    </row>
    <row r="22" customFormat="false" ht="19.5" hidden="false" customHeight="true" outlineLevel="0" collapsed="false">
      <c r="A22" s="14" t="s">
        <v>26</v>
      </c>
      <c r="B22" s="14"/>
      <c r="C22" s="14"/>
      <c r="D22" s="9" t="s">
        <v>27</v>
      </c>
      <c r="E22" s="9"/>
      <c r="F22" s="9"/>
      <c r="G22" s="9"/>
      <c r="H22" s="9"/>
    </row>
    <row r="23" customFormat="false" ht="7.5" hidden="false" customHeight="true" outlineLevel="0" collapsed="false"/>
    <row r="24" customFormat="false" ht="15" hidden="false" customHeight="false" outlineLevel="0" collapsed="false">
      <c r="A24" s="7" t="s">
        <v>28</v>
      </c>
      <c r="B24" s="7"/>
      <c r="C24" s="7"/>
      <c r="D24" s="7"/>
      <c r="E24" s="7"/>
      <c r="F24" s="7"/>
      <c r="G24" s="7"/>
      <c r="H24" s="7"/>
    </row>
    <row r="25" customFormat="false" ht="19.5" hidden="false" customHeight="true" outlineLevel="0" collapsed="false">
      <c r="A25" s="15" t="s">
        <v>29</v>
      </c>
      <c r="B25" s="15"/>
      <c r="C25" s="15"/>
      <c r="D25" s="15"/>
      <c r="E25" s="15"/>
      <c r="F25" s="15"/>
      <c r="G25" s="15"/>
      <c r="H25" s="15"/>
    </row>
    <row r="26" customFormat="false" ht="19.5" hidden="false" customHeight="true" outlineLevel="0" collapsed="false">
      <c r="A26" s="6" t="s">
        <v>30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15" t="s">
        <v>31</v>
      </c>
      <c r="B27" s="15"/>
      <c r="C27" s="15"/>
      <c r="D27" s="15"/>
      <c r="E27" s="15"/>
      <c r="F27" s="15"/>
      <c r="G27" s="15"/>
      <c r="H27" s="15"/>
    </row>
    <row r="28" customFormat="false" ht="19.5" hidden="false" customHeight="true" outlineLevel="0" collapsed="false">
      <c r="A28" s="6" t="s">
        <v>32</v>
      </c>
      <c r="B28" s="6"/>
      <c r="C28" s="6"/>
      <c r="D28" s="6"/>
      <c r="E28" s="6"/>
      <c r="F28" s="6"/>
      <c r="G28" s="6"/>
      <c r="H28" s="6"/>
    </row>
    <row r="29" customFormat="false" ht="19.5" hidden="false" customHeight="true" outlineLevel="0" collapsed="false">
      <c r="A29" s="15" t="s">
        <v>33</v>
      </c>
      <c r="B29" s="15"/>
      <c r="C29" s="15"/>
      <c r="D29" s="15"/>
      <c r="E29" s="15"/>
      <c r="F29" s="15"/>
      <c r="G29" s="15"/>
      <c r="H29" s="15"/>
    </row>
    <row r="30" customFormat="false" ht="19.5" hidden="false" customHeight="true" outlineLevel="0" collapsed="false">
      <c r="A30" s="6" t="s">
        <v>34</v>
      </c>
      <c r="B30" s="6"/>
      <c r="C30" s="6"/>
      <c r="D30" s="6"/>
      <c r="E30" s="6"/>
      <c r="F30" s="6"/>
      <c r="G30" s="6"/>
      <c r="H30" s="6"/>
    </row>
    <row r="31" customFormat="false" ht="19.5" hidden="false" customHeight="true" outlineLevel="0" collapsed="false">
      <c r="A31" s="15" t="s">
        <v>35</v>
      </c>
      <c r="B31" s="15"/>
      <c r="C31" s="15"/>
      <c r="D31" s="15"/>
      <c r="E31" s="15"/>
      <c r="F31" s="15"/>
      <c r="G31" s="15"/>
      <c r="H31" s="15"/>
    </row>
  </sheetData>
  <mergeCells count="36">
    <mergeCell ref="A1:H1"/>
    <mergeCell ref="A2:H2"/>
    <mergeCell ref="A4:H4"/>
    <mergeCell ref="A5:H8"/>
    <mergeCell ref="A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1:C21"/>
    <mergeCell ref="D21:H21"/>
    <mergeCell ref="A22:C22"/>
    <mergeCell ref="D22:H22"/>
    <mergeCell ref="A24:H24"/>
    <mergeCell ref="A25:H25"/>
    <mergeCell ref="A26:H26"/>
    <mergeCell ref="A27:H27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4" activePane="bottomLeft" state="frozen"/>
      <selection pane="topLeft" activeCell="A1" activeCellId="0" sqref="A1"/>
      <selection pane="bottomLeft" activeCell="A5" activeCellId="0" sqref="A5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3.3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4" min="12" style="0" width="14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30"/>
  </cols>
  <sheetData>
    <row r="1" customFormat="false" ht="36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customFormat="false" ht="36" hidden="false" customHeight="true" outlineLevel="0" collapsed="false">
      <c r="A2" s="17" t="s">
        <v>37</v>
      </c>
      <c r="B2" s="17"/>
      <c r="C2" s="17"/>
      <c r="D2" s="18" t="s">
        <v>38</v>
      </c>
      <c r="E2" s="18"/>
      <c r="F2" s="18"/>
      <c r="G2" s="19" t="s">
        <v>39</v>
      </c>
      <c r="H2" s="19"/>
      <c r="I2" s="20" t="s">
        <v>40</v>
      </c>
      <c r="J2" s="20"/>
      <c r="K2" s="20"/>
      <c r="L2" s="21" t="s">
        <v>41</v>
      </c>
      <c r="M2" s="21"/>
      <c r="N2" s="21"/>
      <c r="O2" s="22" t="s">
        <v>42</v>
      </c>
      <c r="P2" s="22"/>
      <c r="Q2" s="22"/>
      <c r="R2" s="22"/>
    </row>
    <row r="3" customFormat="false" ht="75" hidden="false" customHeight="true" outlineLevel="0" collapsed="false">
      <c r="A3" s="23" t="s">
        <v>43</v>
      </c>
      <c r="B3" s="23" t="s">
        <v>44</v>
      </c>
      <c r="C3" s="23" t="s">
        <v>45</v>
      </c>
      <c r="D3" s="24" t="s">
        <v>46</v>
      </c>
      <c r="E3" s="24" t="s">
        <v>47</v>
      </c>
      <c r="F3" s="24" t="s">
        <v>48</v>
      </c>
      <c r="G3" s="25" t="s">
        <v>49</v>
      </c>
      <c r="H3" s="25" t="s">
        <v>50</v>
      </c>
      <c r="I3" s="26" t="s">
        <v>51</v>
      </c>
      <c r="J3" s="26" t="s">
        <v>52</v>
      </c>
      <c r="K3" s="26" t="s">
        <v>53</v>
      </c>
      <c r="L3" s="27" t="s">
        <v>54</v>
      </c>
      <c r="M3" s="27" t="s">
        <v>55</v>
      </c>
      <c r="N3" s="27" t="s">
        <v>56</v>
      </c>
      <c r="O3" s="28" t="s">
        <v>57</v>
      </c>
      <c r="P3" s="28" t="s">
        <v>58</v>
      </c>
      <c r="Q3" s="28" t="s">
        <v>59</v>
      </c>
      <c r="R3" s="28" t="s">
        <v>60</v>
      </c>
    </row>
    <row r="4" customFormat="false" ht="47.75" hidden="false" customHeight="true" outlineLevel="0" collapsed="false">
      <c r="A4" s="29" t="s">
        <v>61</v>
      </c>
      <c r="B4" s="30" t="s">
        <v>62</v>
      </c>
      <c r="C4" s="31" t="s">
        <v>63</v>
      </c>
      <c r="D4" s="31" t="s">
        <v>64</v>
      </c>
      <c r="E4" s="31" t="s">
        <v>65</v>
      </c>
      <c r="F4" s="32" t="s">
        <v>66</v>
      </c>
      <c r="G4" s="31" t="s">
        <v>67</v>
      </c>
      <c r="H4" s="30" t="s">
        <v>68</v>
      </c>
      <c r="I4" s="30" t="s">
        <v>69</v>
      </c>
      <c r="J4" s="31" t="s">
        <v>70</v>
      </c>
      <c r="K4" s="31" t="s">
        <v>71</v>
      </c>
      <c r="L4" s="31" t="s">
        <v>72</v>
      </c>
      <c r="M4" s="33" t="s">
        <v>73</v>
      </c>
      <c r="N4" s="31"/>
      <c r="O4" s="34" t="s">
        <v>74</v>
      </c>
      <c r="P4" s="31"/>
      <c r="Q4" s="31" t="s">
        <v>75</v>
      </c>
      <c r="R4" s="30" t="s">
        <v>76</v>
      </c>
    </row>
    <row r="5" customFormat="false" ht="62.65" hidden="false" customHeight="true" outlineLevel="0" collapsed="false">
      <c r="A5" s="30" t="s">
        <v>77</v>
      </c>
      <c r="B5" s="30" t="s">
        <v>78</v>
      </c>
      <c r="C5" s="31" t="s">
        <v>63</v>
      </c>
      <c r="D5" s="31" t="s">
        <v>64</v>
      </c>
      <c r="E5" s="31" t="s">
        <v>65</v>
      </c>
      <c r="F5" s="32" t="s">
        <v>66</v>
      </c>
      <c r="G5" s="31" t="s">
        <v>67</v>
      </c>
      <c r="H5" s="30" t="s">
        <v>79</v>
      </c>
      <c r="I5" s="30" t="s">
        <v>80</v>
      </c>
      <c r="J5" s="31" t="s">
        <v>70</v>
      </c>
      <c r="K5" s="31" t="s">
        <v>71</v>
      </c>
      <c r="L5" s="31" t="s">
        <v>81</v>
      </c>
      <c r="M5" s="33" t="s">
        <v>73</v>
      </c>
      <c r="N5" s="31"/>
      <c r="O5" s="34" t="s">
        <v>74</v>
      </c>
      <c r="P5" s="31"/>
      <c r="Q5" s="31" t="s">
        <v>75</v>
      </c>
      <c r="R5" s="30" t="s">
        <v>82</v>
      </c>
    </row>
    <row r="6" customFormat="false" ht="57.45" hidden="false" customHeight="true" outlineLevel="0" collapsed="false">
      <c r="A6" s="29" t="s">
        <v>83</v>
      </c>
      <c r="B6" s="30" t="s">
        <v>84</v>
      </c>
      <c r="C6" s="31" t="s">
        <v>63</v>
      </c>
      <c r="D6" s="31" t="s">
        <v>85</v>
      </c>
      <c r="E6" s="31" t="s">
        <v>65</v>
      </c>
      <c r="F6" s="32" t="s">
        <v>66</v>
      </c>
      <c r="G6" s="31" t="s">
        <v>67</v>
      </c>
      <c r="H6" s="30" t="s">
        <v>86</v>
      </c>
      <c r="I6" s="30" t="s">
        <v>87</v>
      </c>
      <c r="J6" s="31" t="s">
        <v>70</v>
      </c>
      <c r="K6" s="31" t="s">
        <v>71</v>
      </c>
      <c r="L6" s="31" t="s">
        <v>88</v>
      </c>
      <c r="M6" s="33" t="s">
        <v>73</v>
      </c>
      <c r="N6" s="31"/>
      <c r="O6" s="34" t="s">
        <v>74</v>
      </c>
      <c r="P6" s="31"/>
      <c r="Q6" s="31" t="s">
        <v>75</v>
      </c>
      <c r="R6" s="30" t="s">
        <v>89</v>
      </c>
    </row>
    <row r="7" customFormat="false" ht="24" hidden="false" customHeight="true" outlineLevel="0" collapsed="false">
      <c r="A7" s="29" t="s">
        <v>90</v>
      </c>
      <c r="B7" s="30" t="s">
        <v>91</v>
      </c>
      <c r="C7" s="31" t="s">
        <v>63</v>
      </c>
      <c r="D7" s="31" t="s">
        <v>64</v>
      </c>
      <c r="E7" s="31" t="s">
        <v>65</v>
      </c>
      <c r="F7" s="32" t="s">
        <v>66</v>
      </c>
      <c r="G7" s="31" t="s">
        <v>67</v>
      </c>
      <c r="H7" s="30" t="s">
        <v>92</v>
      </c>
      <c r="I7" s="35" t="s">
        <v>93</v>
      </c>
      <c r="J7" s="31" t="s">
        <v>70</v>
      </c>
      <c r="K7" s="31" t="s">
        <v>71</v>
      </c>
      <c r="L7" s="31" t="s">
        <v>88</v>
      </c>
      <c r="M7" s="33" t="s">
        <v>73</v>
      </c>
      <c r="N7" s="31"/>
      <c r="O7" s="34" t="s">
        <v>74</v>
      </c>
      <c r="P7" s="31"/>
      <c r="Q7" s="31" t="s">
        <v>75</v>
      </c>
      <c r="R7" s="30" t="s">
        <v>94</v>
      </c>
    </row>
    <row r="8" customFormat="false" ht="24" hidden="false" customHeight="true" outlineLevel="0" collapsed="false">
      <c r="A8" s="29" t="s">
        <v>95</v>
      </c>
      <c r="B8" s="30" t="s">
        <v>96</v>
      </c>
      <c r="C8" s="31" t="s">
        <v>63</v>
      </c>
      <c r="D8" s="31" t="s">
        <v>85</v>
      </c>
      <c r="E8" s="31" t="s">
        <v>65</v>
      </c>
      <c r="F8" s="32" t="s">
        <v>66</v>
      </c>
      <c r="G8" s="31" t="s">
        <v>67</v>
      </c>
      <c r="H8" s="30" t="s">
        <v>97</v>
      </c>
      <c r="I8" s="35" t="s">
        <v>98</v>
      </c>
      <c r="J8" s="31" t="s">
        <v>99</v>
      </c>
      <c r="K8" s="31" t="s">
        <v>71</v>
      </c>
      <c r="L8" s="31" t="s">
        <v>100</v>
      </c>
      <c r="M8" s="33" t="s">
        <v>73</v>
      </c>
      <c r="N8" s="31"/>
      <c r="O8" s="34" t="s">
        <v>74</v>
      </c>
      <c r="P8" s="31"/>
      <c r="Q8" s="31" t="s">
        <v>75</v>
      </c>
      <c r="R8" s="30" t="s">
        <v>101</v>
      </c>
    </row>
    <row r="9" customFormat="false" ht="24" hidden="false" customHeight="true" outlineLevel="0" collapsed="false">
      <c r="A9" s="29" t="s">
        <v>102</v>
      </c>
      <c r="B9" s="30" t="s">
        <v>103</v>
      </c>
      <c r="C9" s="31" t="s">
        <v>63</v>
      </c>
      <c r="D9" s="31" t="s">
        <v>104</v>
      </c>
      <c r="E9" s="31" t="s">
        <v>65</v>
      </c>
      <c r="F9" s="32" t="s">
        <v>66</v>
      </c>
      <c r="G9" s="31" t="s">
        <v>67</v>
      </c>
      <c r="H9" s="30" t="s">
        <v>105</v>
      </c>
      <c r="I9" s="35" t="s">
        <v>106</v>
      </c>
      <c r="J9" s="31" t="s">
        <v>99</v>
      </c>
      <c r="K9" s="31" t="s">
        <v>71</v>
      </c>
      <c r="L9" s="31" t="s">
        <v>107</v>
      </c>
      <c r="M9" s="33" t="s">
        <v>73</v>
      </c>
      <c r="N9" s="31"/>
      <c r="O9" s="34" t="s">
        <v>74</v>
      </c>
      <c r="P9" s="31"/>
      <c r="Q9" s="31" t="s">
        <v>75</v>
      </c>
      <c r="R9" s="30" t="s">
        <v>108</v>
      </c>
    </row>
    <row r="10" customFormat="false" ht="24" hidden="false" customHeight="true" outlineLevel="0" collapsed="false">
      <c r="A10" s="29" t="s">
        <v>109</v>
      </c>
      <c r="B10" s="30" t="s">
        <v>110</v>
      </c>
      <c r="C10" s="31" t="s">
        <v>63</v>
      </c>
      <c r="D10" s="31" t="s">
        <v>111</v>
      </c>
      <c r="E10" s="31" t="s">
        <v>65</v>
      </c>
      <c r="F10" s="32" t="s">
        <v>66</v>
      </c>
      <c r="G10" s="31" t="s">
        <v>67</v>
      </c>
      <c r="H10" s="30" t="s">
        <v>112</v>
      </c>
      <c r="I10" s="35" t="s">
        <v>113</v>
      </c>
      <c r="J10" s="31" t="s">
        <v>114</v>
      </c>
      <c r="K10" s="31" t="s">
        <v>71</v>
      </c>
      <c r="L10" s="31" t="s">
        <v>115</v>
      </c>
      <c r="M10" s="33" t="s">
        <v>73</v>
      </c>
      <c r="N10" s="31"/>
      <c r="O10" s="34" t="s">
        <v>74</v>
      </c>
      <c r="P10" s="31"/>
      <c r="Q10" s="31" t="s">
        <v>75</v>
      </c>
      <c r="R10" s="30" t="s">
        <v>116</v>
      </c>
    </row>
    <row r="11" customFormat="false" ht="24" hidden="false" customHeight="true" outlineLevel="0" collapsed="false">
      <c r="A11" s="29" t="s">
        <v>117</v>
      </c>
      <c r="B11" s="30" t="s">
        <v>118</v>
      </c>
      <c r="C11" s="31" t="s">
        <v>119</v>
      </c>
      <c r="D11" s="31" t="s">
        <v>120</v>
      </c>
      <c r="E11" s="31" t="s">
        <v>121</v>
      </c>
      <c r="F11" s="32" t="s">
        <v>66</v>
      </c>
      <c r="G11" s="31" t="s">
        <v>67</v>
      </c>
      <c r="H11" s="30" t="s">
        <v>122</v>
      </c>
      <c r="I11" s="35" t="s">
        <v>123</v>
      </c>
      <c r="J11" s="31" t="s">
        <v>70</v>
      </c>
      <c r="K11" s="31" t="s">
        <v>71</v>
      </c>
      <c r="L11" s="31" t="s">
        <v>72</v>
      </c>
      <c r="M11" s="33" t="s">
        <v>73</v>
      </c>
      <c r="N11" s="31"/>
      <c r="O11" s="34" t="s">
        <v>74</v>
      </c>
      <c r="P11" s="31"/>
      <c r="Q11" s="31" t="s">
        <v>75</v>
      </c>
      <c r="R11" s="30" t="s">
        <v>116</v>
      </c>
    </row>
    <row r="12" customFormat="false" ht="24" hidden="false" customHeight="true" outlineLevel="0" collapsed="false">
      <c r="A12" s="29" t="s">
        <v>124</v>
      </c>
      <c r="B12" s="30" t="s">
        <v>125</v>
      </c>
      <c r="C12" s="31" t="s">
        <v>126</v>
      </c>
      <c r="D12" s="31" t="s">
        <v>127</v>
      </c>
      <c r="E12" s="31" t="s">
        <v>128</v>
      </c>
      <c r="F12" s="32" t="s">
        <v>66</v>
      </c>
      <c r="G12" s="31" t="s">
        <v>67</v>
      </c>
      <c r="H12" s="30" t="s">
        <v>129</v>
      </c>
      <c r="I12" s="35" t="s">
        <v>130</v>
      </c>
      <c r="J12" s="31" t="s">
        <v>99</v>
      </c>
      <c r="K12" s="31" t="s">
        <v>71</v>
      </c>
      <c r="L12" s="31" t="s">
        <v>107</v>
      </c>
      <c r="M12" s="33" t="s">
        <v>73</v>
      </c>
      <c r="N12" s="31"/>
      <c r="O12" s="34" t="s">
        <v>74</v>
      </c>
      <c r="P12" s="31"/>
      <c r="Q12" s="31" t="s">
        <v>75</v>
      </c>
      <c r="R12" s="30" t="s">
        <v>116</v>
      </c>
    </row>
    <row r="13" customFormat="false" ht="24" hidden="false" customHeight="true" outlineLevel="0" collapsed="false">
      <c r="A13" s="29" t="s">
        <v>131</v>
      </c>
      <c r="B13" s="30" t="s">
        <v>132</v>
      </c>
      <c r="C13" s="31" t="s">
        <v>133</v>
      </c>
      <c r="D13" s="31" t="s">
        <v>127</v>
      </c>
      <c r="E13" s="31" t="s">
        <v>128</v>
      </c>
      <c r="F13" s="33" t="s">
        <v>134</v>
      </c>
      <c r="G13" s="31" t="s">
        <v>67</v>
      </c>
      <c r="H13" s="30" t="s">
        <v>135</v>
      </c>
      <c r="I13" s="35" t="s">
        <v>136</v>
      </c>
      <c r="J13" s="31" t="s">
        <v>99</v>
      </c>
      <c r="K13" s="31" t="s">
        <v>71</v>
      </c>
      <c r="L13" s="31" t="s">
        <v>107</v>
      </c>
      <c r="M13" s="33" t="s">
        <v>73</v>
      </c>
      <c r="N13" s="31"/>
      <c r="O13" s="34" t="s">
        <v>74</v>
      </c>
      <c r="P13" s="31"/>
      <c r="Q13" s="31" t="s">
        <v>75</v>
      </c>
      <c r="R13" s="30" t="s">
        <v>116</v>
      </c>
    </row>
    <row r="14" customFormat="false" ht="24" hidden="false" customHeight="true" outlineLevel="0" collapsed="false">
      <c r="A14" s="29" t="s">
        <v>137</v>
      </c>
      <c r="B14" s="30" t="s">
        <v>138</v>
      </c>
      <c r="C14" s="31" t="s">
        <v>126</v>
      </c>
      <c r="D14" s="31" t="s">
        <v>139</v>
      </c>
      <c r="E14" s="31" t="s">
        <v>121</v>
      </c>
      <c r="F14" s="32" t="s">
        <v>66</v>
      </c>
      <c r="G14" s="31" t="s">
        <v>67</v>
      </c>
      <c r="H14" s="30" t="s">
        <v>140</v>
      </c>
      <c r="I14" s="35" t="s">
        <v>141</v>
      </c>
      <c r="J14" s="31" t="s">
        <v>99</v>
      </c>
      <c r="K14" s="31" t="s">
        <v>71</v>
      </c>
      <c r="L14" s="31" t="s">
        <v>100</v>
      </c>
      <c r="M14" s="33" t="s">
        <v>73</v>
      </c>
      <c r="N14" s="31"/>
      <c r="O14" s="34" t="s">
        <v>74</v>
      </c>
      <c r="P14" s="31"/>
      <c r="Q14" s="31" t="s">
        <v>75</v>
      </c>
      <c r="R14" s="30" t="s">
        <v>116</v>
      </c>
    </row>
    <row r="15" customFormat="false" ht="31.5" hidden="false" customHeight="false" outlineLevel="0" collapsed="false">
      <c r="A15" s="29" t="s">
        <v>142</v>
      </c>
      <c r="B15" s="30" t="s">
        <v>143</v>
      </c>
      <c r="C15" s="31" t="s">
        <v>144</v>
      </c>
      <c r="D15" s="31" t="s">
        <v>145</v>
      </c>
      <c r="E15" s="31" t="s">
        <v>121</v>
      </c>
      <c r="F15" s="33" t="s">
        <v>134</v>
      </c>
      <c r="G15" s="31" t="s">
        <v>67</v>
      </c>
      <c r="H15" s="30" t="s">
        <v>146</v>
      </c>
      <c r="I15" s="35" t="s">
        <v>113</v>
      </c>
      <c r="J15" s="31" t="s">
        <v>114</v>
      </c>
      <c r="K15" s="31" t="s">
        <v>71</v>
      </c>
      <c r="L15" s="31" t="s">
        <v>81</v>
      </c>
      <c r="M15" s="33" t="s">
        <v>73</v>
      </c>
      <c r="N15" s="31"/>
      <c r="O15" s="34" t="s">
        <v>74</v>
      </c>
      <c r="P15" s="31"/>
      <c r="Q15" s="31" t="s">
        <v>75</v>
      </c>
      <c r="R15" s="30" t="s">
        <v>116</v>
      </c>
    </row>
    <row r="16" customFormat="false" ht="16.4" hidden="false" customHeight="true" outlineLevel="0" collapsed="false">
      <c r="A16" s="29" t="s">
        <v>147</v>
      </c>
      <c r="B16" s="30" t="s">
        <v>148</v>
      </c>
      <c r="C16" s="31" t="s">
        <v>144</v>
      </c>
      <c r="D16" s="31" t="s">
        <v>120</v>
      </c>
      <c r="E16" s="31" t="s">
        <v>121</v>
      </c>
      <c r="F16" s="32" t="s">
        <v>66</v>
      </c>
      <c r="G16" s="31" t="s">
        <v>67</v>
      </c>
      <c r="H16" s="30" t="s">
        <v>149</v>
      </c>
      <c r="I16" s="35" t="s">
        <v>150</v>
      </c>
      <c r="J16" s="31" t="s">
        <v>114</v>
      </c>
      <c r="K16" s="31" t="s">
        <v>71</v>
      </c>
      <c r="L16" s="31" t="s">
        <v>115</v>
      </c>
      <c r="M16" s="33" t="s">
        <v>73</v>
      </c>
      <c r="N16" s="31"/>
      <c r="O16" s="34" t="s">
        <v>74</v>
      </c>
      <c r="P16" s="31"/>
      <c r="Q16" s="31" t="s">
        <v>75</v>
      </c>
      <c r="R16" s="30" t="s">
        <v>116</v>
      </c>
    </row>
    <row r="17" customFormat="false" ht="21.55" hidden="false" customHeight="false" outlineLevel="0" collapsed="false">
      <c r="A17" s="29" t="s">
        <v>151</v>
      </c>
      <c r="B17" s="30" t="s">
        <v>152</v>
      </c>
      <c r="C17" s="31" t="s">
        <v>144</v>
      </c>
      <c r="D17" s="31" t="s">
        <v>120</v>
      </c>
      <c r="E17" s="31" t="s">
        <v>121</v>
      </c>
      <c r="F17" s="33" t="s">
        <v>134</v>
      </c>
      <c r="G17" s="31" t="s">
        <v>67</v>
      </c>
      <c r="H17" s="30" t="s">
        <v>153</v>
      </c>
      <c r="I17" s="35" t="s">
        <v>154</v>
      </c>
      <c r="J17" s="31" t="s">
        <v>114</v>
      </c>
      <c r="K17" s="31" t="s">
        <v>71</v>
      </c>
      <c r="L17" s="31" t="s">
        <v>115</v>
      </c>
      <c r="M17" s="33" t="s">
        <v>73</v>
      </c>
      <c r="N17" s="31"/>
      <c r="O17" s="34" t="s">
        <v>74</v>
      </c>
      <c r="P17" s="31"/>
      <c r="Q17" s="31" t="s">
        <v>75</v>
      </c>
      <c r="R17" s="30" t="s">
        <v>116</v>
      </c>
    </row>
    <row r="18" customFormat="false" ht="31.5" hidden="false" customHeight="false" outlineLevel="0" collapsed="false">
      <c r="A18" s="29" t="s">
        <v>155</v>
      </c>
      <c r="B18" s="30" t="s">
        <v>156</v>
      </c>
      <c r="C18" s="31" t="s">
        <v>144</v>
      </c>
      <c r="D18" s="31" t="s">
        <v>111</v>
      </c>
      <c r="E18" s="31" t="s">
        <v>157</v>
      </c>
      <c r="F18" s="32" t="s">
        <v>66</v>
      </c>
      <c r="G18" s="31" t="s">
        <v>67</v>
      </c>
      <c r="H18" s="30" t="s">
        <v>158</v>
      </c>
      <c r="I18" s="35" t="s">
        <v>159</v>
      </c>
      <c r="J18" s="31" t="s">
        <v>114</v>
      </c>
      <c r="K18" s="31" t="s">
        <v>71</v>
      </c>
      <c r="L18" s="31" t="s">
        <v>115</v>
      </c>
      <c r="M18" s="33" t="s">
        <v>73</v>
      </c>
      <c r="N18" s="31"/>
      <c r="O18" s="34" t="s">
        <v>74</v>
      </c>
      <c r="P18" s="31"/>
      <c r="Q18" s="31" t="s">
        <v>75</v>
      </c>
      <c r="R18" s="30" t="s">
        <v>116</v>
      </c>
    </row>
    <row r="19" customFormat="false" ht="31.5" hidden="false" customHeight="false" outlineLevel="0" collapsed="false">
      <c r="A19" s="29" t="s">
        <v>160</v>
      </c>
      <c r="B19" s="30" t="s">
        <v>161</v>
      </c>
      <c r="C19" s="31" t="s">
        <v>144</v>
      </c>
      <c r="D19" s="31" t="s">
        <v>111</v>
      </c>
      <c r="E19" s="31" t="s">
        <v>157</v>
      </c>
      <c r="F19" s="32" t="s">
        <v>66</v>
      </c>
      <c r="G19" s="31" t="s">
        <v>67</v>
      </c>
      <c r="H19" s="30" t="s">
        <v>162</v>
      </c>
      <c r="I19" s="35" t="s">
        <v>163</v>
      </c>
      <c r="J19" s="31" t="s">
        <v>114</v>
      </c>
      <c r="K19" s="31" t="s">
        <v>71</v>
      </c>
      <c r="L19" s="31" t="s">
        <v>115</v>
      </c>
      <c r="M19" s="33" t="s">
        <v>73</v>
      </c>
      <c r="N19" s="31"/>
      <c r="O19" s="34" t="s">
        <v>74</v>
      </c>
      <c r="P19" s="31"/>
      <c r="Q19" s="31" t="s">
        <v>75</v>
      </c>
      <c r="R19" s="30" t="s">
        <v>116</v>
      </c>
    </row>
    <row r="20" customFormat="false" ht="21.55" hidden="false" customHeight="false" outlineLevel="0" collapsed="false">
      <c r="A20" s="29" t="s">
        <v>164</v>
      </c>
      <c r="B20" s="30" t="s">
        <v>165</v>
      </c>
      <c r="C20" s="31" t="s">
        <v>144</v>
      </c>
      <c r="D20" s="31" t="s">
        <v>111</v>
      </c>
      <c r="E20" s="31" t="s">
        <v>157</v>
      </c>
      <c r="F20" s="32" t="s">
        <v>66</v>
      </c>
      <c r="G20" s="31" t="s">
        <v>67</v>
      </c>
      <c r="H20" s="30" t="s">
        <v>166</v>
      </c>
      <c r="I20" s="35" t="s">
        <v>167</v>
      </c>
      <c r="J20" s="31" t="s">
        <v>70</v>
      </c>
      <c r="K20" s="31" t="s">
        <v>71</v>
      </c>
      <c r="L20" s="31" t="s">
        <v>72</v>
      </c>
      <c r="M20" s="33" t="s">
        <v>73</v>
      </c>
      <c r="N20" s="31"/>
      <c r="O20" s="34" t="s">
        <v>74</v>
      </c>
      <c r="P20" s="31"/>
      <c r="Q20" s="31" t="s">
        <v>75</v>
      </c>
      <c r="R20" s="30" t="s">
        <v>116</v>
      </c>
    </row>
    <row r="21" customFormat="false" ht="31.5" hidden="false" customHeight="false" outlineLevel="0" collapsed="false">
      <c r="A21" s="29" t="s">
        <v>168</v>
      </c>
      <c r="B21" s="30" t="s">
        <v>169</v>
      </c>
      <c r="C21" s="31" t="s">
        <v>144</v>
      </c>
      <c r="D21" s="31" t="s">
        <v>111</v>
      </c>
      <c r="E21" s="31" t="s">
        <v>157</v>
      </c>
      <c r="F21" s="33" t="s">
        <v>134</v>
      </c>
      <c r="G21" s="31" t="s">
        <v>67</v>
      </c>
      <c r="H21" s="30" t="s">
        <v>170</v>
      </c>
      <c r="I21" s="35" t="s">
        <v>171</v>
      </c>
      <c r="J21" s="31" t="s">
        <v>114</v>
      </c>
      <c r="K21" s="31" t="s">
        <v>71</v>
      </c>
      <c r="L21" s="31" t="s">
        <v>115</v>
      </c>
      <c r="M21" s="33" t="s">
        <v>73</v>
      </c>
      <c r="N21" s="31"/>
      <c r="O21" s="34" t="s">
        <v>74</v>
      </c>
      <c r="P21" s="31"/>
      <c r="Q21" s="31" t="s">
        <v>75</v>
      </c>
      <c r="R21" s="30" t="s">
        <v>116</v>
      </c>
    </row>
    <row r="22" customFormat="false" ht="15" hidden="false" customHeight="false" outlineLevel="0" collapsed="false">
      <c r="A22" s="29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P22" s="37"/>
      <c r="Q22" s="38"/>
      <c r="R22" s="36"/>
    </row>
    <row r="23" customFormat="false" ht="15" hidden="false" customHeight="false" outlineLevel="0" collapsed="false">
      <c r="A23" s="29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7"/>
      <c r="O23" s="36"/>
      <c r="P23" s="37"/>
      <c r="Q23" s="38"/>
      <c r="R23" s="36"/>
    </row>
    <row r="24" customFormat="false" ht="15" hidden="false" customHeight="false" outlineLevel="0" collapsed="false">
      <c r="A24" s="29"/>
      <c r="B24" s="36"/>
      <c r="C24" s="36"/>
      <c r="D24" s="36"/>
      <c r="E24" s="36"/>
      <c r="F24" s="36"/>
      <c r="G24" s="36"/>
      <c r="H24" s="36"/>
      <c r="J24" s="36"/>
      <c r="K24" s="36"/>
      <c r="L24" s="36"/>
      <c r="M24" s="36"/>
      <c r="N24" s="37"/>
      <c r="O24" s="36"/>
      <c r="P24" s="37"/>
      <c r="Q24" s="38"/>
      <c r="R24" s="36"/>
    </row>
    <row r="25" customFormat="false" ht="15" hidden="false" customHeight="false" outlineLevel="0" collapsed="false">
      <c r="A25" s="29"/>
      <c r="B25" s="36"/>
      <c r="C25" s="36"/>
      <c r="D25" s="36"/>
      <c r="E25" s="36"/>
      <c r="F25" s="36"/>
      <c r="G25" s="36"/>
      <c r="H25" s="36"/>
      <c r="J25" s="36"/>
      <c r="K25" s="36"/>
      <c r="L25" s="36"/>
      <c r="M25" s="36"/>
      <c r="N25" s="37"/>
      <c r="O25" s="36"/>
      <c r="P25" s="37"/>
      <c r="Q25" s="38"/>
      <c r="R25" s="36"/>
    </row>
    <row r="26" customFormat="false" ht="15" hidden="false" customHeight="false" outlineLevel="0" collapsed="false">
      <c r="A26" s="29"/>
      <c r="B26" s="36"/>
      <c r="C26" s="36"/>
      <c r="D26" s="36"/>
      <c r="E26" s="36"/>
      <c r="F26" s="36"/>
      <c r="G26" s="36"/>
      <c r="H26" s="36"/>
      <c r="J26" s="36"/>
      <c r="K26" s="36"/>
      <c r="L26" s="36"/>
      <c r="M26" s="36"/>
      <c r="N26" s="37"/>
      <c r="O26" s="36"/>
      <c r="P26" s="37"/>
      <c r="Q26" s="38"/>
      <c r="R26" s="36"/>
    </row>
    <row r="27" customFormat="false" ht="15" hidden="false" customHeight="false" outlineLevel="0" collapsed="false">
      <c r="A27" s="29"/>
      <c r="B27" s="36"/>
      <c r="C27" s="36"/>
      <c r="D27" s="36"/>
      <c r="E27" s="36"/>
      <c r="F27" s="36"/>
      <c r="G27" s="36"/>
      <c r="H27" s="36"/>
      <c r="J27" s="36"/>
      <c r="K27" s="36"/>
      <c r="L27" s="36"/>
      <c r="M27" s="36"/>
      <c r="N27" s="37"/>
      <c r="O27" s="36"/>
      <c r="P27" s="37"/>
      <c r="Q27" s="38"/>
      <c r="R27" s="36"/>
    </row>
    <row r="28" customFormat="false" ht="15" hidden="false" customHeight="false" outlineLevel="0" collapsed="false">
      <c r="A28" s="29"/>
      <c r="B28" s="36"/>
      <c r="C28" s="36"/>
      <c r="D28" s="36"/>
      <c r="E28" s="36"/>
      <c r="F28" s="36"/>
      <c r="G28" s="36"/>
      <c r="H28" s="36"/>
      <c r="J28" s="36"/>
      <c r="K28" s="36"/>
      <c r="L28" s="36"/>
      <c r="M28" s="36"/>
      <c r="N28" s="37"/>
      <c r="O28" s="36"/>
      <c r="P28" s="37"/>
      <c r="Q28" s="38"/>
      <c r="R28" s="36"/>
    </row>
    <row r="29" customFormat="false" ht="15" hidden="false" customHeight="false" outlineLevel="0" collapsed="false">
      <c r="A29" s="29"/>
      <c r="B29" s="36"/>
      <c r="C29" s="36"/>
      <c r="D29" s="36"/>
      <c r="E29" s="36"/>
      <c r="F29" s="36"/>
      <c r="G29" s="36"/>
      <c r="H29" s="36"/>
      <c r="J29" s="36"/>
      <c r="K29" s="36"/>
      <c r="L29" s="36"/>
      <c r="M29" s="36"/>
      <c r="N29" s="37"/>
      <c r="O29" s="36"/>
      <c r="P29" s="37"/>
      <c r="Q29" s="38"/>
      <c r="R29" s="36"/>
    </row>
    <row r="30" customFormat="false" ht="15" hidden="false" customHeight="false" outlineLevel="0" collapsed="false">
      <c r="A30" s="29"/>
      <c r="B30" s="36"/>
      <c r="C30" s="36"/>
      <c r="D30" s="36"/>
      <c r="E30" s="36"/>
      <c r="F30" s="36"/>
      <c r="G30" s="36"/>
      <c r="H30" s="36"/>
      <c r="J30" s="36"/>
      <c r="K30" s="36"/>
      <c r="L30" s="36"/>
      <c r="M30" s="36"/>
      <c r="N30" s="37"/>
      <c r="O30" s="36"/>
      <c r="P30" s="37"/>
      <c r="Q30" s="38"/>
      <c r="R30" s="36"/>
    </row>
    <row r="31" customFormat="false" ht="15" hidden="false" customHeight="false" outlineLevel="0" collapsed="false">
      <c r="A31" s="29"/>
      <c r="B31" s="36"/>
      <c r="C31" s="36"/>
      <c r="D31" s="36"/>
      <c r="E31" s="36"/>
      <c r="F31" s="36"/>
      <c r="G31" s="36"/>
      <c r="H31" s="36"/>
      <c r="J31" s="36"/>
      <c r="K31" s="36"/>
      <c r="L31" s="36"/>
      <c r="M31" s="36"/>
      <c r="N31" s="37"/>
      <c r="O31" s="36"/>
      <c r="P31" s="37"/>
      <c r="Q31" s="38"/>
      <c r="R31" s="36"/>
    </row>
    <row r="32" customFormat="false" ht="15" hidden="false" customHeight="false" outlineLevel="0" collapsed="false">
      <c r="A32" s="29"/>
      <c r="B32" s="36"/>
      <c r="C32" s="36"/>
      <c r="D32" s="36"/>
      <c r="E32" s="36"/>
      <c r="F32" s="36"/>
      <c r="G32" s="36"/>
      <c r="H32" s="36"/>
      <c r="J32" s="36"/>
      <c r="K32" s="36"/>
      <c r="L32" s="36"/>
      <c r="M32" s="36"/>
      <c r="N32" s="37"/>
      <c r="O32" s="36"/>
      <c r="P32" s="37"/>
      <c r="Q32" s="38"/>
      <c r="R32" s="36"/>
    </row>
    <row r="33" customFormat="false" ht="15" hidden="false" customHeight="false" outlineLevel="0" collapsed="false">
      <c r="A33" s="29"/>
      <c r="B33" s="36"/>
      <c r="C33" s="36"/>
      <c r="D33" s="36"/>
      <c r="E33" s="36"/>
      <c r="F33" s="36"/>
      <c r="G33" s="36"/>
      <c r="H33" s="36"/>
      <c r="J33" s="36"/>
      <c r="K33" s="36"/>
      <c r="L33" s="36"/>
      <c r="M33" s="36"/>
      <c r="N33" s="37"/>
      <c r="O33" s="36"/>
      <c r="P33" s="37"/>
      <c r="Q33" s="38"/>
      <c r="R33" s="36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:R1"/>
    <mergeCell ref="A2:C2"/>
    <mergeCell ref="D2:F2"/>
    <mergeCell ref="G2:H2"/>
    <mergeCell ref="I2:K2"/>
    <mergeCell ref="L2:N2"/>
    <mergeCell ref="O2:R2"/>
  </mergeCells>
  <dataValidations count="4">
    <dataValidation allowBlank="true" errorStyle="stop" operator="between" showDropDown="false" showErrorMessage="false" showInputMessage="false" sqref="C34:C100" type="list">
      <formula1>"Funcional,No funcional,Restricción,Interfaz,Rendimiento,Seguridad"</formula1>
      <formula2>0</formula2>
    </dataValidation>
    <dataValidation allowBlank="true" errorStyle="stop" operator="between" showDropDown="false" showErrorMessage="false" showInputMessage="false" sqref="F4:F12 F14 F16 F18:F20 F34:F100" type="list">
      <formula1>"Must have,Should have,Could have,Won't have"</formula1>
      <formula2>0</formula2>
    </dataValidation>
    <dataValidation allowBlank="true" errorStyle="stop" operator="between" showDropDown="false" showErrorMessage="false" showInputMessage="false" sqref="M4:M21 F13 F15 F17 F21 M34:M100" type="list">
      <formula1>"Pasado,Fallido,Bloqueado,Pendiente,N/A"</formula1>
      <formula2>0</formula2>
    </dataValidation>
    <dataValidation allowBlank="true" errorStyle="stop" operator="between" showDropDown="false" showErrorMessage="false" showInputMessage="false" sqref="O4:O22 O34:O100" type="list">
      <formula1>"Propuesto,Aprobado,En desarrollo,Implementado,Verificado,Aplazado,Rechazado,Archivado"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14" min="3" style="0" width="9"/>
  </cols>
  <sheetData>
    <row r="1" customFormat="false" ht="36" hidden="false" customHeight="true" outlineLevel="0" collapsed="false">
      <c r="A1" s="16" t="s">
        <v>172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39"/>
    </row>
    <row r="2" customFormat="false" ht="18" hidden="false" customHeight="true" outlineLevel="0" collapsed="false">
      <c r="A2" s="39"/>
      <c r="B2" s="39"/>
      <c r="C2" s="40" t="s">
        <v>173</v>
      </c>
      <c r="D2" s="40"/>
      <c r="E2" s="40"/>
      <c r="F2" s="40"/>
      <c r="G2" s="41" t="s">
        <v>174</v>
      </c>
      <c r="H2" s="41"/>
      <c r="I2" s="41"/>
      <c r="J2" s="41"/>
      <c r="K2" s="41"/>
      <c r="L2" s="42" t="s">
        <v>175</v>
      </c>
      <c r="M2" s="42"/>
      <c r="N2" s="42"/>
    </row>
    <row r="3" customFormat="false" ht="72" hidden="false" customHeight="true" outlineLevel="0" collapsed="false">
      <c r="A3" s="43" t="s">
        <v>176</v>
      </c>
      <c r="B3" s="43" t="s">
        <v>177</v>
      </c>
      <c r="C3" s="44" t="s">
        <v>178</v>
      </c>
      <c r="D3" s="44" t="s">
        <v>179</v>
      </c>
      <c r="E3" s="44" t="s">
        <v>180</v>
      </c>
      <c r="F3" s="44" t="s">
        <v>181</v>
      </c>
      <c r="G3" s="45" t="s">
        <v>182</v>
      </c>
      <c r="H3" s="45" t="s">
        <v>183</v>
      </c>
      <c r="I3" s="45" t="s">
        <v>184</v>
      </c>
      <c r="J3" s="45" t="s">
        <v>185</v>
      </c>
      <c r="K3" s="45" t="s">
        <v>186</v>
      </c>
      <c r="L3" s="46" t="s">
        <v>187</v>
      </c>
      <c r="M3" s="46" t="s">
        <v>188</v>
      </c>
      <c r="N3" s="46" t="s">
        <v>189</v>
      </c>
    </row>
    <row r="4" customFormat="false" ht="19.5" hidden="false" customHeight="true" outlineLevel="0" collapsed="false">
      <c r="A4" s="47"/>
      <c r="B4" s="48"/>
      <c r="C4" s="49"/>
      <c r="D4" s="50"/>
      <c r="E4" s="50"/>
      <c r="F4" s="50"/>
      <c r="G4" s="49"/>
      <c r="H4" s="50"/>
      <c r="I4" s="50"/>
      <c r="J4" s="50"/>
      <c r="K4" s="50"/>
      <c r="L4" s="49"/>
      <c r="M4" s="50"/>
      <c r="N4" s="50"/>
    </row>
    <row r="5" customFormat="false" ht="19.5" hidden="false" customHeight="true" outlineLevel="0" collapsed="false">
      <c r="A5" s="47"/>
      <c r="B5" s="51"/>
      <c r="C5" s="49"/>
      <c r="D5" s="52"/>
      <c r="E5" s="52"/>
      <c r="F5" s="52"/>
      <c r="G5" s="52"/>
      <c r="H5" s="49"/>
      <c r="I5" s="52"/>
      <c r="J5" s="52"/>
      <c r="K5" s="52"/>
      <c r="L5" s="49"/>
      <c r="M5" s="52"/>
      <c r="N5" s="52"/>
    </row>
    <row r="6" customFormat="false" ht="19.5" hidden="false" customHeight="true" outlineLevel="0" collapsed="false">
      <c r="A6" s="47"/>
      <c r="B6" s="48"/>
      <c r="C6" s="50"/>
      <c r="D6" s="49"/>
      <c r="E6" s="50"/>
      <c r="F6" s="50"/>
      <c r="G6" s="50"/>
      <c r="H6" s="50"/>
      <c r="I6" s="49"/>
      <c r="J6" s="50"/>
      <c r="K6" s="50"/>
      <c r="L6" s="49"/>
      <c r="M6" s="50"/>
      <c r="N6" s="50"/>
    </row>
    <row r="7" customFormat="false" ht="19.5" hidden="false" customHeight="true" outlineLevel="0" collapsed="false">
      <c r="A7" s="47"/>
      <c r="B7" s="51"/>
      <c r="C7" s="52"/>
      <c r="D7" s="52"/>
      <c r="E7" s="52"/>
      <c r="F7" s="52"/>
      <c r="G7" s="52"/>
      <c r="H7" s="52"/>
      <c r="I7" s="52"/>
      <c r="J7" s="49"/>
      <c r="K7" s="52"/>
      <c r="L7" s="49"/>
      <c r="M7" s="52"/>
      <c r="N7" s="52"/>
    </row>
    <row r="8" customFormat="false" ht="19.5" hidden="false" customHeight="true" outlineLevel="0" collapsed="false">
      <c r="A8" s="47"/>
      <c r="B8" s="48"/>
      <c r="C8" s="50"/>
      <c r="D8" s="49"/>
      <c r="E8" s="50"/>
      <c r="F8" s="50"/>
      <c r="G8" s="50"/>
      <c r="H8" s="50"/>
      <c r="I8" s="49"/>
      <c r="J8" s="50"/>
      <c r="K8" s="50"/>
      <c r="L8" s="49"/>
      <c r="M8" s="50"/>
      <c r="N8" s="50"/>
    </row>
    <row r="9" customFormat="false" ht="19.5" hidden="false" customHeight="true" outlineLevel="0" collapsed="false">
      <c r="A9" s="47"/>
      <c r="B9" s="51"/>
      <c r="C9" s="52"/>
      <c r="D9" s="52"/>
      <c r="E9" s="49"/>
      <c r="F9" s="52"/>
      <c r="G9" s="52"/>
      <c r="H9" s="52"/>
      <c r="I9" s="52"/>
      <c r="J9" s="52"/>
      <c r="K9" s="49"/>
      <c r="L9" s="52"/>
      <c r="M9" s="49"/>
      <c r="N9" s="52"/>
    </row>
    <row r="10" customFormat="false" ht="19.5" hidden="false" customHeight="true" outlineLevel="0" collapsed="false">
      <c r="A10" s="47"/>
      <c r="B10" s="48"/>
      <c r="C10" s="50"/>
      <c r="D10" s="50"/>
      <c r="E10" s="49"/>
      <c r="F10" s="50"/>
      <c r="G10" s="50"/>
      <c r="H10" s="50"/>
      <c r="I10" s="50"/>
      <c r="J10" s="50"/>
      <c r="K10" s="49"/>
      <c r="L10" s="50"/>
      <c r="M10" s="49"/>
      <c r="N10" s="50"/>
    </row>
    <row r="11" customFormat="false" ht="19.5" hidden="false" customHeight="true" outlineLevel="0" collapsed="false">
      <c r="A11" s="47"/>
      <c r="B11" s="51"/>
      <c r="C11" s="52"/>
      <c r="D11" s="52"/>
      <c r="E11" s="52"/>
      <c r="F11" s="49"/>
      <c r="G11" s="52"/>
      <c r="H11" s="52"/>
      <c r="I11" s="52"/>
      <c r="J11" s="52"/>
      <c r="K11" s="52"/>
      <c r="L11" s="49"/>
      <c r="M11" s="52"/>
      <c r="N11" s="52"/>
    </row>
    <row r="12" customFormat="false" ht="19.5" hidden="false" customHeight="true" outlineLevel="0" collapsed="false">
      <c r="A12" s="47"/>
      <c r="B12" s="48"/>
      <c r="C12" s="50"/>
      <c r="D12" s="50"/>
      <c r="E12" s="49"/>
      <c r="F12" s="50"/>
      <c r="G12" s="50"/>
      <c r="H12" s="50"/>
      <c r="I12" s="50"/>
      <c r="J12" s="50"/>
      <c r="K12" s="50"/>
      <c r="L12" s="50"/>
      <c r="M12" s="49"/>
      <c r="N12" s="50"/>
    </row>
    <row r="13" customFormat="false" ht="19.5" hidden="false" customHeight="true" outlineLevel="0" collapsed="false">
      <c r="A13" s="47"/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49"/>
      <c r="N13" s="52"/>
    </row>
    <row r="14" customFormat="false" ht="19.5" hidden="false" customHeight="true" outlineLevel="0" collapsed="false">
      <c r="A14" s="47"/>
      <c r="B14" s="48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49"/>
    </row>
    <row r="15" customFormat="false" ht="19.5" hidden="false" customHeight="true" outlineLevel="0" collapsed="false">
      <c r="A15" s="47"/>
      <c r="B15" s="51"/>
      <c r="C15" s="52"/>
      <c r="D15" s="49"/>
      <c r="E15" s="52"/>
      <c r="F15" s="52"/>
      <c r="G15" s="52"/>
      <c r="H15" s="52"/>
      <c r="I15" s="52"/>
      <c r="J15" s="52"/>
      <c r="K15" s="52"/>
      <c r="L15" s="52"/>
      <c r="M15" s="52"/>
      <c r="N15" s="49"/>
    </row>
    <row r="17" customFormat="false" ht="21.75" hidden="false" customHeight="true" outlineLevel="0" collapsed="false">
      <c r="A17" s="53" t="s">
        <v>190</v>
      </c>
      <c r="B17" s="53"/>
      <c r="C17" s="54" t="str">
        <f aca="false">IFERROR(COUNTIF(C4:C15,"✓")/COUNTA(C4:C15),"")</f>
        <v/>
      </c>
      <c r="D17" s="55" t="str">
        <f aca="false">IFERROR(COUNTIF(D4:D15,"✓")/COUNTA(D4:D15),"")</f>
        <v/>
      </c>
      <c r="E17" s="55" t="str">
        <f aca="false">IFERROR(COUNTIF(E4:E15,"✓")/COUNTA(E4:E15),"")</f>
        <v/>
      </c>
      <c r="F17" s="55" t="str">
        <f aca="false">IFERROR(COUNTIF(F4:F15,"✓")/COUNTA(F4:F15),"")</f>
        <v/>
      </c>
      <c r="G17" s="55" t="str">
        <f aca="false">IFERROR(COUNTIF(G4:G15,"✓")/COUNTA(G4:G15),"")</f>
        <v/>
      </c>
      <c r="H17" s="55" t="str">
        <f aca="false">IFERROR(COUNTIF(H4:H15,"✓")/COUNTA(H4:H15),"")</f>
        <v/>
      </c>
      <c r="I17" s="55" t="str">
        <f aca="false">IFERROR(COUNTIF(I4:I15,"✓")/COUNTA(I4:I15),"")</f>
        <v/>
      </c>
      <c r="J17" s="55" t="str">
        <f aca="false">IFERROR(COUNTIF(J4:J15,"✓")/COUNTA(J4:J15),"")</f>
        <v/>
      </c>
      <c r="K17" s="55" t="str">
        <f aca="false">IFERROR(COUNTIF(K4:K15,"✓")/COUNTA(K4:K15),"")</f>
        <v/>
      </c>
      <c r="L17" s="55" t="str">
        <f aca="false">IFERROR(COUNTIF(L4:L15,"✓")/COUNTA(L4:L15),"")</f>
        <v/>
      </c>
      <c r="M17" s="55" t="str">
        <f aca="false">IFERROR(COUNTIF(M4:M15,"✓")/COUNTA(M4:M15),"")</f>
        <v/>
      </c>
      <c r="N17" s="55" t="str">
        <f aca="false">IFERROR(COUNTIF(N4:N15,"✓")/COUNTA(N4:N15),"")</f>
        <v/>
      </c>
    </row>
  </sheetData>
  <mergeCells count="5">
    <mergeCell ref="A1:M1"/>
    <mergeCell ref="C2:F2"/>
    <mergeCell ref="G2:K2"/>
    <mergeCell ref="L2:N2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4" activeCellId="0" sqref="A14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8"/>
  </cols>
  <sheetData>
    <row r="1" customFormat="false" ht="42" hidden="false" customHeight="true" outlineLevel="0" collapsed="false">
      <c r="A1" s="16" t="s">
        <v>191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8" hidden="false" customHeight="true" outlineLevel="0" collapsed="false">
      <c r="A2" s="56" t="s">
        <v>192</v>
      </c>
      <c r="B2" s="56"/>
      <c r="C2" s="56"/>
      <c r="D2" s="56"/>
      <c r="E2" s="56"/>
      <c r="F2" s="56"/>
      <c r="G2" s="56"/>
      <c r="H2" s="56"/>
      <c r="I2" s="56"/>
      <c r="J2" s="56"/>
    </row>
    <row r="3" customFormat="false" ht="9.75" hidden="false" customHeight="true" outlineLevel="0" collapsed="false"/>
    <row r="4" customFormat="false" ht="18" hidden="false" customHeight="true" outlineLevel="0" collapsed="false">
      <c r="A4" s="57" t="s">
        <v>193</v>
      </c>
      <c r="B4" s="57"/>
      <c r="C4" s="58" t="s">
        <v>194</v>
      </c>
      <c r="D4" s="58"/>
      <c r="E4" s="59" t="s">
        <v>195</v>
      </c>
      <c r="F4" s="59"/>
      <c r="G4" s="60" t="s">
        <v>196</v>
      </c>
      <c r="H4" s="60"/>
      <c r="I4" s="61" t="s">
        <v>197</v>
      </c>
      <c r="J4" s="61"/>
    </row>
    <row r="5" customFormat="false" ht="39.75" hidden="false" customHeight="true" outlineLevel="0" collapsed="false">
      <c r="A5" s="62" t="n">
        <f aca="false">COUNTA('📋 Matriz principal'!A4:A100)</f>
        <v>18</v>
      </c>
      <c r="B5" s="62"/>
      <c r="C5" s="63" t="n">
        <f aca="false">COUNTIF('📋 Matriz principal'!O4:O100,"Verificado")</f>
        <v>0</v>
      </c>
      <c r="D5" s="63"/>
      <c r="E5" s="64" t="n">
        <f aca="false">COUNTIF('📋 Matriz principal'!O4:O100,"En desarrollo")</f>
        <v>0</v>
      </c>
      <c r="F5" s="64"/>
      <c r="G5" s="65" t="n">
        <f aca="false">COUNTIF('📋 Matriz principal'!O4:O100,"Bloqueado")+COUNTIF('📋 Matriz principal'!M4:M100,"Fallido")</f>
        <v>0</v>
      </c>
      <c r="H5" s="65"/>
      <c r="I5" s="66" t="n">
        <f aca="false">COUNTIF('📋 Matriz principal'!L4:L100,"")-MAX(0,COUNTA('📋 Matriz principal'!A4:A100)-COUNTA('📋 Matriz principal'!L4:L100))</f>
        <v>79</v>
      </c>
      <c r="J5" s="66"/>
    </row>
    <row r="6" customFormat="false" ht="21.75" hidden="false" customHeight="true" outlineLevel="0" collapsed="false">
      <c r="A6" s="67"/>
      <c r="B6" s="67"/>
      <c r="C6" s="68"/>
      <c r="D6" s="68"/>
      <c r="E6" s="69"/>
      <c r="F6" s="69"/>
      <c r="G6" s="70"/>
      <c r="H6" s="70"/>
      <c r="I6" s="71"/>
      <c r="J6" s="71"/>
    </row>
    <row r="7" customFormat="false" ht="15.75" hidden="false" customHeight="true" outlineLevel="0" collapsed="false"/>
    <row r="8" customFormat="false" ht="19.5" hidden="false" customHeight="true" outlineLevel="0" collapsed="false">
      <c r="A8" s="72" t="s">
        <v>198</v>
      </c>
      <c r="B8" s="72"/>
      <c r="C8" s="72"/>
      <c r="D8" s="72"/>
      <c r="E8" s="72"/>
      <c r="F8" s="72"/>
      <c r="G8" s="72"/>
      <c r="H8" s="72"/>
      <c r="I8" s="72"/>
      <c r="J8" s="72"/>
    </row>
    <row r="9" customFormat="false" ht="18" hidden="false" customHeight="true" outlineLevel="0" collapsed="false">
      <c r="A9" s="73" t="s">
        <v>74</v>
      </c>
      <c r="B9" s="74" t="s">
        <v>199</v>
      </c>
      <c r="C9" s="75" t="s">
        <v>195</v>
      </c>
      <c r="D9" s="74" t="s">
        <v>200</v>
      </c>
      <c r="E9" s="76" t="s">
        <v>201</v>
      </c>
      <c r="F9" s="77" t="s">
        <v>202</v>
      </c>
      <c r="G9" s="78" t="s">
        <v>203</v>
      </c>
      <c r="H9" s="79" t="s">
        <v>204</v>
      </c>
    </row>
    <row r="10" customFormat="false" ht="24" hidden="false" customHeight="true" outlineLevel="0" collapsed="false">
      <c r="A10" s="80" t="n">
        <f aca="false">COUNTIF('📋 Matriz principal'!O4:O100,"Propuesto")</f>
        <v>18</v>
      </c>
      <c r="B10" s="81" t="n">
        <f aca="false">COUNTIF('📋 Matriz principal'!O4:O100,"Aprobado")</f>
        <v>0</v>
      </c>
      <c r="C10" s="82" t="n">
        <f aca="false">COUNTIF('📋 Matriz principal'!O4:O100,"En desarrollo")</f>
        <v>0</v>
      </c>
      <c r="D10" s="81" t="n">
        <f aca="false">COUNTIF('📋 Matriz principal'!O4:O100,"Implementado")</f>
        <v>0</v>
      </c>
      <c r="E10" s="83" t="n">
        <f aca="false">COUNTIF('📋 Matriz principal'!O4:O100,"Verificado")</f>
        <v>0</v>
      </c>
      <c r="F10" s="84" t="n">
        <f aca="false">COUNTIF('📋 Matriz principal'!O4:O100,"Aplazado")</f>
        <v>0</v>
      </c>
      <c r="G10" s="85" t="n">
        <f aca="false">COUNTIF('📋 Matriz principal'!O4:O100,"Rechazado")</f>
        <v>0</v>
      </c>
      <c r="H10" s="86" t="n">
        <f aca="false">COUNTIF('📋 Matriz principal'!O4:O100,"Archivado")</f>
        <v>0</v>
      </c>
    </row>
    <row r="11" customFormat="false" ht="15.75" hidden="false" customHeight="true" outlineLevel="0" collapsed="false"/>
    <row r="12" customFormat="false" ht="19.5" hidden="false" customHeight="true" outlineLevel="0" collapsed="false">
      <c r="A12" s="72" t="s">
        <v>205</v>
      </c>
      <c r="B12" s="72"/>
      <c r="C12" s="72"/>
      <c r="D12" s="72"/>
      <c r="E12" s="72"/>
      <c r="F12" s="72"/>
      <c r="G12" s="72"/>
      <c r="H12" s="72"/>
    </row>
    <row r="13" customFormat="false" ht="18" hidden="false" customHeight="true" outlineLevel="0" collapsed="false">
      <c r="A13" s="87" t="s">
        <v>66</v>
      </c>
      <c r="B13" s="87"/>
      <c r="C13" s="88" t="s">
        <v>134</v>
      </c>
      <c r="D13" s="88"/>
      <c r="E13" s="89" t="s">
        <v>206</v>
      </c>
      <c r="F13" s="89"/>
      <c r="G13" s="90" t="s">
        <v>207</v>
      </c>
      <c r="H13" s="90"/>
    </row>
    <row r="14" customFormat="false" ht="24" hidden="false" customHeight="true" outlineLevel="0" collapsed="false">
      <c r="A14" s="91" t="n">
        <f aca="false">COUNTIF('📋 Matriz principal'!F4:F100,"Must have")</f>
        <v>14</v>
      </c>
      <c r="B14" s="91"/>
      <c r="C14" s="92" t="n">
        <f aca="false">COUNTIF('📋 Matriz principal'!F4:F100,"Should have")</f>
        <v>4</v>
      </c>
      <c r="D14" s="92"/>
      <c r="E14" s="93" t="n">
        <f aca="false">COUNTIF('📋 Matriz principal'!F4:F100,"Could have")</f>
        <v>0</v>
      </c>
      <c r="F14" s="93"/>
      <c r="G14" s="94" t="n">
        <f aca="false">COUNTIF('📋 Matriz principal'!F4:F100,"Won't have")</f>
        <v>0</v>
      </c>
      <c r="H14" s="94"/>
    </row>
    <row r="15" customFormat="false" ht="15.75" hidden="false" customHeight="true" outlineLevel="0" collapsed="false"/>
    <row r="16" customFormat="false" ht="19.5" hidden="false" customHeight="true" outlineLevel="0" collapsed="false">
      <c r="A16" s="72" t="s">
        <v>208</v>
      </c>
      <c r="B16" s="72"/>
      <c r="C16" s="72"/>
      <c r="D16" s="72"/>
      <c r="E16" s="72"/>
      <c r="F16" s="72"/>
      <c r="G16" s="72"/>
      <c r="H16" s="72"/>
    </row>
    <row r="17" customFormat="false" ht="18" hidden="false" customHeight="true" outlineLevel="0" collapsed="false">
      <c r="A17" s="95" t="s">
        <v>176</v>
      </c>
      <c r="B17" s="95" t="s">
        <v>209</v>
      </c>
      <c r="C17" s="95" t="s">
        <v>210</v>
      </c>
      <c r="D17" s="95" t="s">
        <v>211</v>
      </c>
      <c r="E17" s="95" t="s">
        <v>212</v>
      </c>
      <c r="F17" s="95" t="s">
        <v>213</v>
      </c>
    </row>
    <row r="18" customFormat="false" ht="19.5" hidden="false" customHeight="true" outlineLevel="0" collapsed="false">
      <c r="A18" s="96" t="s">
        <v>214</v>
      </c>
      <c r="B18" s="96"/>
      <c r="C18" s="96"/>
      <c r="D18" s="96"/>
      <c r="E18" s="96"/>
      <c r="F18" s="96"/>
    </row>
  </sheetData>
  <mergeCells count="29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  <mergeCell ref="A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6:H16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H1" colorId="64" zoomScale="90" zoomScaleNormal="90" zoomScalePageLayoutView="100" workbookViewId="0">
      <pane xSplit="0" ySplit="2" topLeftCell="A3" activePane="bottomLeft" state="frozen"/>
      <selection pane="topLeft" activeCell="H1" activeCellId="0" sqref="H1"/>
      <selection pane="bottomLeft" activeCell="M11" activeCellId="0" sqref="M11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8"/>
  </cols>
  <sheetData>
    <row r="1" customFormat="false" ht="36" hidden="false" customHeight="true" outlineLevel="0" collapsed="false">
      <c r="A1" s="97" t="s">
        <v>215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customFormat="false" ht="36" hidden="false" customHeight="true" outlineLevel="0" collapsed="false">
      <c r="A2" s="98" t="s">
        <v>216</v>
      </c>
      <c r="B2" s="99" t="s">
        <v>217</v>
      </c>
      <c r="C2" s="100" t="s">
        <v>218</v>
      </c>
      <c r="D2" s="98" t="s">
        <v>219</v>
      </c>
      <c r="E2" s="98" t="s">
        <v>210</v>
      </c>
      <c r="F2" s="98" t="s">
        <v>220</v>
      </c>
      <c r="G2" s="98" t="s">
        <v>221</v>
      </c>
      <c r="H2" s="98" t="s">
        <v>222</v>
      </c>
      <c r="I2" s="98" t="s">
        <v>223</v>
      </c>
      <c r="J2" s="98" t="s">
        <v>224</v>
      </c>
      <c r="K2" s="98" t="s">
        <v>225</v>
      </c>
      <c r="L2" s="98" t="s">
        <v>226</v>
      </c>
      <c r="M2" s="98" t="s">
        <v>227</v>
      </c>
    </row>
    <row r="3" customFormat="false" ht="30" hidden="false" customHeight="true" outlineLevel="0" collapsed="false">
      <c r="A3" s="101" t="s">
        <v>228</v>
      </c>
      <c r="B3" s="102" t="s">
        <v>229</v>
      </c>
      <c r="C3" s="102" t="s">
        <v>157</v>
      </c>
      <c r="D3" s="103" t="s">
        <v>230</v>
      </c>
      <c r="E3" s="104" t="s">
        <v>231</v>
      </c>
      <c r="F3" s="102" t="s">
        <v>232</v>
      </c>
      <c r="G3" s="102" t="s">
        <v>233</v>
      </c>
      <c r="H3" s="105"/>
      <c r="I3" s="103"/>
      <c r="J3" s="102"/>
      <c r="K3" s="103"/>
      <c r="L3" s="105"/>
      <c r="M3" s="102"/>
    </row>
    <row r="4" customFormat="false" ht="30" hidden="false" customHeight="true" outlineLevel="0" collapsed="false">
      <c r="A4" s="106" t="s">
        <v>234</v>
      </c>
      <c r="B4" s="107" t="s">
        <v>235</v>
      </c>
      <c r="C4" s="107" t="s">
        <v>236</v>
      </c>
      <c r="D4" s="108" t="s">
        <v>237</v>
      </c>
      <c r="E4" s="34" t="s">
        <v>238</v>
      </c>
      <c r="F4" s="107" t="s">
        <v>239</v>
      </c>
      <c r="G4" s="107" t="s">
        <v>240</v>
      </c>
      <c r="H4" s="109"/>
      <c r="I4" s="108"/>
      <c r="J4" s="107"/>
      <c r="K4" s="108"/>
      <c r="L4" s="109"/>
      <c r="M4" s="107"/>
    </row>
    <row r="5" customFormat="false" ht="30" hidden="false" customHeight="true" outlineLevel="0" collapsed="false">
      <c r="A5" s="106" t="s">
        <v>241</v>
      </c>
      <c r="B5" s="30" t="s">
        <v>242</v>
      </c>
      <c r="C5" s="30" t="s">
        <v>243</v>
      </c>
      <c r="D5" s="31" t="s">
        <v>244</v>
      </c>
      <c r="E5" s="33" t="s">
        <v>231</v>
      </c>
      <c r="F5" s="30" t="s">
        <v>245</v>
      </c>
      <c r="G5" s="30" t="s">
        <v>246</v>
      </c>
      <c r="H5" s="109"/>
      <c r="I5" s="31"/>
      <c r="J5" s="30"/>
      <c r="K5" s="31"/>
      <c r="L5" s="33"/>
      <c r="M5" s="30"/>
    </row>
    <row r="6" customFormat="false" ht="30" hidden="false" customHeight="true" outlineLevel="0" collapsed="false">
      <c r="A6" s="106" t="s">
        <v>247</v>
      </c>
      <c r="B6" s="107" t="s">
        <v>248</v>
      </c>
      <c r="C6" s="107" t="s">
        <v>249</v>
      </c>
      <c r="D6" s="108" t="s">
        <v>250</v>
      </c>
      <c r="E6" s="32" t="s">
        <v>251</v>
      </c>
      <c r="F6" s="107" t="s">
        <v>252</v>
      </c>
      <c r="G6" s="107" t="s">
        <v>253</v>
      </c>
      <c r="H6" s="33"/>
      <c r="I6" s="108"/>
      <c r="J6" s="107"/>
      <c r="K6" s="108"/>
      <c r="L6" s="34"/>
      <c r="M6" s="107"/>
    </row>
    <row r="7" customFormat="false" ht="30" hidden="false" customHeight="true" outlineLevel="0" collapsed="false">
      <c r="A7" s="106" t="s">
        <v>254</v>
      </c>
      <c r="B7" s="30" t="s">
        <v>255</v>
      </c>
      <c r="C7" s="30" t="s">
        <v>256</v>
      </c>
      <c r="D7" s="31" t="s">
        <v>257</v>
      </c>
      <c r="E7" s="34" t="s">
        <v>238</v>
      </c>
      <c r="F7" s="30" t="s">
        <v>258</v>
      </c>
      <c r="G7" s="30" t="s">
        <v>259</v>
      </c>
      <c r="H7" s="32"/>
      <c r="I7" s="31"/>
      <c r="J7" s="30"/>
      <c r="K7" s="31"/>
      <c r="L7" s="32"/>
      <c r="M7" s="30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G6" activeCellId="0" sqref="G6"/>
    </sheetView>
  </sheetViews>
  <sheetFormatPr defaultColWidth="8.83593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24"/>
  </cols>
  <sheetData>
    <row r="1" customFormat="false" ht="36" hidden="false" customHeight="true" outlineLevel="0" collapsed="false">
      <c r="A1" s="97" t="s">
        <v>260</v>
      </c>
      <c r="B1" s="97"/>
      <c r="C1" s="97"/>
      <c r="D1" s="97"/>
      <c r="E1" s="97"/>
      <c r="F1" s="97"/>
      <c r="G1" s="97"/>
    </row>
    <row r="2" customFormat="false" ht="33.75" hidden="false" customHeight="true" outlineLevel="0" collapsed="false">
      <c r="A2" s="110" t="s">
        <v>261</v>
      </c>
      <c r="B2" s="111" t="s">
        <v>45</v>
      </c>
      <c r="C2" s="112" t="s">
        <v>262</v>
      </c>
      <c r="D2" s="111" t="s">
        <v>263</v>
      </c>
      <c r="E2" s="111" t="s">
        <v>264</v>
      </c>
      <c r="F2" s="111" t="s">
        <v>265</v>
      </c>
      <c r="G2" s="113" t="s">
        <v>266</v>
      </c>
    </row>
    <row r="3" customFormat="false" ht="21.75" hidden="false" customHeight="true" outlineLevel="0" collapsed="false">
      <c r="A3" s="106"/>
      <c r="B3" s="34"/>
      <c r="C3" s="30"/>
      <c r="D3" s="31"/>
      <c r="E3" s="30"/>
      <c r="F3" s="31"/>
      <c r="G3" s="30"/>
    </row>
    <row r="4" customFormat="false" ht="21.75" hidden="false" customHeight="true" outlineLevel="0" collapsed="false">
      <c r="A4" s="106"/>
      <c r="B4" s="34"/>
      <c r="C4" s="107"/>
      <c r="D4" s="108"/>
      <c r="E4" s="107"/>
      <c r="F4" s="108"/>
      <c r="G4" s="107"/>
    </row>
    <row r="5" customFormat="false" ht="21.75" hidden="false" customHeight="true" outlineLevel="0" collapsed="false">
      <c r="A5" s="106"/>
      <c r="B5" s="34"/>
      <c r="C5" s="30"/>
      <c r="D5" s="31"/>
      <c r="E5" s="30"/>
      <c r="F5" s="31"/>
      <c r="G5" s="30"/>
    </row>
    <row r="6" customFormat="false" ht="21.75" hidden="false" customHeight="true" outlineLevel="0" collapsed="false">
      <c r="A6" s="106"/>
      <c r="B6" s="109"/>
      <c r="C6" s="107"/>
      <c r="D6" s="108"/>
      <c r="E6" s="107"/>
      <c r="F6" s="108"/>
      <c r="G6" s="107"/>
    </row>
    <row r="7" customFormat="false" ht="21.75" hidden="false" customHeight="true" outlineLevel="0" collapsed="false">
      <c r="A7" s="106"/>
      <c r="B7" s="109"/>
      <c r="C7" s="30"/>
      <c r="D7" s="31"/>
      <c r="E7" s="30"/>
      <c r="F7" s="31"/>
      <c r="G7" s="30"/>
    </row>
    <row r="8" customFormat="false" ht="21.75" hidden="false" customHeight="true" outlineLevel="0" collapsed="false">
      <c r="A8" s="106"/>
      <c r="B8" s="109"/>
      <c r="C8" s="107"/>
      <c r="D8" s="108"/>
      <c r="E8" s="107"/>
      <c r="F8" s="108"/>
      <c r="G8" s="107"/>
    </row>
    <row r="9" customFormat="false" ht="21.75" hidden="false" customHeight="true" outlineLevel="0" collapsed="false">
      <c r="A9" s="106"/>
      <c r="B9" s="109"/>
      <c r="C9" s="30"/>
      <c r="D9" s="31"/>
      <c r="E9" s="30"/>
      <c r="F9" s="31"/>
      <c r="G9" s="30"/>
    </row>
    <row r="10" customFormat="false" ht="21.75" hidden="false" customHeight="true" outlineLevel="0" collapsed="false">
      <c r="A10" s="106"/>
      <c r="B10" s="109"/>
      <c r="C10" s="107"/>
      <c r="D10" s="108"/>
      <c r="E10" s="107"/>
      <c r="F10" s="108"/>
      <c r="G10" s="107"/>
    </row>
    <row r="11" customFormat="false" ht="21.75" hidden="false" customHeight="true" outlineLevel="0" collapsed="false">
      <c r="A11" s="106"/>
      <c r="B11" s="109"/>
      <c r="C11" s="30"/>
      <c r="D11" s="31"/>
      <c r="E11" s="30"/>
      <c r="F11" s="31"/>
      <c r="G11" s="30"/>
    </row>
    <row r="12" customFormat="false" ht="21.75" hidden="false" customHeight="true" outlineLevel="0" collapsed="false">
      <c r="A12" s="106"/>
      <c r="B12" s="109"/>
      <c r="C12" s="107"/>
      <c r="D12" s="108"/>
      <c r="E12" s="107"/>
      <c r="F12" s="108"/>
      <c r="G12" s="107"/>
    </row>
    <row r="13" customFormat="false" ht="21.75" hidden="false" customHeight="true" outlineLevel="0" collapsed="false">
      <c r="A13" s="106"/>
      <c r="B13" s="109"/>
      <c r="C13" s="30"/>
      <c r="D13" s="31"/>
      <c r="E13" s="30"/>
      <c r="F13" s="31"/>
      <c r="G13" s="30"/>
    </row>
    <row r="14" customFormat="false" ht="21.75" hidden="false" customHeight="true" outlineLevel="0" collapsed="false">
      <c r="A14" s="106"/>
      <c r="B14" s="114"/>
      <c r="C14" s="107"/>
      <c r="D14" s="108"/>
      <c r="E14" s="107"/>
      <c r="F14" s="108"/>
      <c r="G14" s="107"/>
    </row>
    <row r="15" customFormat="false" ht="21.75" hidden="false" customHeight="true" outlineLevel="0" collapsed="false">
      <c r="A15" s="106"/>
      <c r="B15" s="114"/>
      <c r="C15" s="30"/>
      <c r="D15" s="31"/>
      <c r="E15" s="30"/>
      <c r="F15" s="31"/>
      <c r="G15" s="30"/>
    </row>
    <row r="16" customFormat="false" ht="21.75" hidden="false" customHeight="true" outlineLevel="0" collapsed="false">
      <c r="A16" s="106"/>
      <c r="B16" s="114"/>
      <c r="C16" s="107"/>
      <c r="D16" s="108"/>
      <c r="E16" s="107"/>
      <c r="F16" s="108"/>
      <c r="G16" s="107"/>
    </row>
    <row r="17" customFormat="false" ht="21.75" hidden="false" customHeight="true" outlineLevel="0" collapsed="false">
      <c r="A17" s="106"/>
      <c r="B17" s="114"/>
      <c r="C17" s="30"/>
      <c r="D17" s="31"/>
      <c r="E17" s="30"/>
      <c r="F17" s="31"/>
      <c r="G17" s="30"/>
    </row>
    <row r="18" customFormat="false" ht="21.75" hidden="false" customHeight="true" outlineLevel="0" collapsed="false">
      <c r="A18" s="106"/>
      <c r="B18" s="114"/>
      <c r="C18" s="107"/>
      <c r="D18" s="108"/>
      <c r="E18" s="107"/>
      <c r="F18" s="108"/>
      <c r="G18" s="107"/>
    </row>
    <row r="19" customFormat="false" ht="21.75" hidden="false" customHeight="true" outlineLevel="0" collapsed="false">
      <c r="A19" s="106"/>
      <c r="B19" s="115"/>
      <c r="C19" s="30"/>
      <c r="D19" s="31"/>
      <c r="E19" s="30"/>
      <c r="F19" s="31"/>
      <c r="G19" s="30"/>
    </row>
    <row r="20" customFormat="false" ht="21.75" hidden="false" customHeight="true" outlineLevel="0" collapsed="false">
      <c r="A20" s="106"/>
      <c r="B20" s="115"/>
      <c r="C20" s="107"/>
      <c r="D20" s="108"/>
      <c r="E20" s="107"/>
      <c r="F20" s="108"/>
      <c r="G20" s="107"/>
    </row>
    <row r="21" customFormat="false" ht="21.75" hidden="false" customHeight="true" outlineLevel="0" collapsed="false">
      <c r="A21" s="106"/>
      <c r="B21" s="33"/>
      <c r="C21" s="30"/>
      <c r="D21" s="31"/>
      <c r="E21" s="30"/>
      <c r="F21" s="31"/>
      <c r="G21" s="30"/>
    </row>
    <row r="22" customFormat="false" ht="21.75" hidden="false" customHeight="true" outlineLevel="0" collapsed="false">
      <c r="A22" s="106"/>
      <c r="B22" s="106"/>
      <c r="C22" s="107"/>
      <c r="D22" s="108"/>
      <c r="E22" s="107"/>
      <c r="F22" s="108"/>
      <c r="G22" s="10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7783753953547B7FC3082537267E2" ma:contentTypeVersion="16" ma:contentTypeDescription="Crear nuevo documento." ma:contentTypeScope="" ma:versionID="97f381565d65a23fbab7622fd5bbd77c">
  <xsd:schema xmlns:xsd="http://www.w3.org/2001/XMLSchema" xmlns:xs="http://www.w3.org/2001/XMLSchema" xmlns:p="http://schemas.microsoft.com/office/2006/metadata/properties" xmlns:ns2="20f40e83-ecb3-43fa-824b-804cfaa06ae1" xmlns:ns3="235c63eb-f668-470d-b3f1-37dd36c10e53" targetNamespace="http://schemas.microsoft.com/office/2006/metadata/properties" ma:root="true" ma:fieldsID="384a28825f511d7fb1a23e564ac813ca" ns2:_="" ns3:_="">
    <xsd:import namespace="20f40e83-ecb3-43fa-824b-804cfaa06ae1"/>
    <xsd:import namespace="235c63eb-f668-470d-b3f1-37dd36c10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40e83-ecb3-43fa-824b-804cfaa06a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c63eb-f668-470d-b3f1-37dd36c10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c2ce880-6467-41cd-b587-0c9b93940179}" ma:internalName="TaxCatchAll" ma:showField="CatchAllData" ma:web="235c63eb-f668-470d-b3f1-37dd36c10e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f40e83-ecb3-43fa-824b-804cfaa06ae1">
      <Terms xmlns="http://schemas.microsoft.com/office/infopath/2007/PartnerControls"/>
    </lcf76f155ced4ddcb4097134ff3c332f>
    <TaxCatchAll xmlns="235c63eb-f668-470d-b3f1-37dd36c10e53" xsi:nil="true"/>
  </documentManagement>
</p:properties>
</file>

<file path=customXml/itemProps1.xml><?xml version="1.0" encoding="utf-8"?>
<ds:datastoreItem xmlns:ds="http://schemas.openxmlformats.org/officeDocument/2006/customXml" ds:itemID="{A597FADA-230E-421D-902C-6A09AEBE6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40e83-ecb3-43fa-824b-804cfaa06ae1"/>
    <ds:schemaRef ds:uri="235c63eb-f668-470d-b3f1-37dd36c10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4DBCF0-324E-4B44-A671-7E23C402F1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00DF8F-8742-4588-BA38-4C9291302F57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235c63eb-f668-470d-b3f1-37dd36c10e53"/>
    <ds:schemaRef ds:uri="http://schemas.microsoft.com/office/infopath/2007/PartnerControls"/>
    <ds:schemaRef ds:uri="20f40e83-ecb3-43fa-824b-804cfaa06ae1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2026-06-17T01:22:24Z</dcterms:created>
  <dc:creator>openpyxl</dc:creator>
  <dc:description/>
  <dc:language>es-CO</dc:language>
  <cp:lastModifiedBy/>
  <dcterms:modified xsi:type="dcterms:W3CDTF">2026-09-23T16:38:45Z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0x0101006127783753953547B7FC3082537267E2</vt:lpwstr>
  </property>
  <property fmtid="{D5CDD505-2E9C-101B-9397-08002B2CF9AE}" pid="3" name="MediaServiceImageTags">
    <vt:lpwstr/>
  </property>
</Properties>
</file>